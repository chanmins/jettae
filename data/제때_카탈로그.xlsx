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카탈로그" sheetId="1" state="visible" r:id="rId3"/>
    <sheet name="요약" sheetId="2" state="visible" r:id="rId4"/>
    <sheet name="범례" sheetId="3" state="visible" r:id="rId5"/>
  </sheets>
  <definedNames>
    <definedName function="false" hidden="true" localSheetId="0" name="_xlnm._FilterDatabase" vbProcedure="false">카탈로그!$A$1:$L$160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<sst xmlns="http://schemas.openxmlformats.org/spreadsheetml/2006/main" count="1117" uniqueCount="454">
  <si>
    <t xml:space="preserve">코드</t>
  </si>
  <si>
    <t xml:space="preserve">품목명</t>
  </si>
  <si>
    <t xml:space="preserve">구역</t>
  </si>
  <si>
    <t xml:space="preserve">등록방식</t>
  </si>
  <si>
    <t xml:space="preserve">기준</t>
  </si>
  <si>
    <r>
      <rPr>
        <b val="true"/>
        <sz val="10"/>
        <color rgb="FFFFFFFF"/>
        <rFont val="Noto Sans CJK SC"/>
        <family val="2"/>
      </rPr>
      <t xml:space="preserve">주기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</si>
  <si>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주기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사용량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</si>
  <si>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단위</t>
  </si>
  <si>
    <t xml:space="preserve">계절</t>
  </si>
  <si>
    <t xml:space="preserve">안전잠금</t>
  </si>
  <si>
    <t xml:space="preserve">온보딩추천</t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</si>
  <si>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</si>
  <si>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bath_toothbrush</t>
  </si>
  <si>
    <t xml:space="preserve">칫솔</t>
  </si>
  <si>
    <t xml:space="preserve">욕실</t>
  </si>
  <si>
    <t xml:space="preserve">목록선택</t>
  </si>
  <si>
    <t xml:space="preserve">날짜</t>
  </si>
  <si>
    <t xml:space="preserve">연중</t>
  </si>
  <si>
    <t xml:space="preserve">○</t>
  </si>
  <si>
    <r>
      <rPr>
        <sz val="9"/>
        <color rgb="FF595959"/>
        <rFont val="Noto Sans CJK SC"/>
        <family val="2"/>
      </rPr>
      <t xml:space="preserve">칫솔모가 벌어지면 플라그 제거력 저하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마모 시 조기 교체</t>
    </r>
  </si>
  <si>
    <t xml:space="preserve">bath_ebrush_head</t>
  </si>
  <si>
    <t xml:space="preserve">전동칫솔 브러시헤드</t>
  </si>
  <si>
    <t xml:space="preserve">수동 칫솔과 동일 기준</t>
  </si>
  <si>
    <t xml:space="preserve">bath_interdental</t>
  </si>
  <si>
    <t xml:space="preserve">치간칫솔</t>
  </si>
  <si>
    <t xml:space="preserve">모가 휘면 즉시 교체</t>
  </si>
  <si>
    <t xml:space="preserve">bath_tongue</t>
  </si>
  <si>
    <t xml:space="preserve">혀클리너</t>
  </si>
  <si>
    <t xml:space="preserve">bath_razor</t>
  </si>
  <si>
    <t xml:space="preserve">면도날</t>
  </si>
  <si>
    <r>
      <rPr>
        <sz val="9"/>
        <color rgb="FF595959"/>
        <rFont val="Noto Sans CJK SC"/>
        <family val="2"/>
      </rPr>
      <t xml:space="preserve">사용 </t>
    </r>
    <r>
      <rPr>
        <sz val="9"/>
        <color rgb="FF595959"/>
        <rFont val="Arial"/>
        <family val="0"/>
        <charset val="1"/>
      </rPr>
      <t xml:space="preserve">5~10</t>
    </r>
    <r>
      <rPr>
        <sz val="9"/>
        <color rgb="FF595959"/>
        <rFont val="Noto Sans CJK SC"/>
        <family val="2"/>
      </rPr>
      <t xml:space="preserve">회 기준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매일 면도 시 약 </t>
    </r>
    <r>
      <rPr>
        <sz val="9"/>
        <color rgb="FF595959"/>
        <rFont val="Arial"/>
        <family val="0"/>
        <charset val="1"/>
      </rPr>
      <t xml:space="preserve">2~3</t>
    </r>
    <r>
      <rPr>
        <sz val="9"/>
        <color rgb="FF595959"/>
        <rFont val="Noto Sans CJK SC"/>
        <family val="2"/>
      </rPr>
      <t xml:space="preserve">주</t>
    </r>
  </si>
  <si>
    <t xml:space="preserve">bath_showertowel</t>
  </si>
  <si>
    <r>
      <rPr>
        <b val="true"/>
        <sz val="10"/>
        <rFont val="Noto Sans CJK SC"/>
        <family val="2"/>
      </rPr>
      <t xml:space="preserve">샤워타월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때수건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</si>
  <si>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습한 환경에서 세균 번식</t>
    </r>
    <r>
      <rPr>
        <sz val="9"/>
        <color rgb="FF595959"/>
        <rFont val="Arial"/>
        <family val="0"/>
        <charset val="1"/>
      </rPr>
      <t xml:space="preserve">. 2</t>
    </r>
    <r>
      <rPr>
        <sz val="9"/>
        <color rgb="FF595959"/>
        <rFont val="Noto Sans CJK SC"/>
        <family val="2"/>
      </rPr>
      <t xml:space="preserve">개월 권장</t>
    </r>
  </si>
  <si>
    <t xml:space="preserve">bath_towel</t>
  </si>
  <si>
    <t xml:space="preserve">수건</t>
  </si>
  <si>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뻣뻣해지면 조기 교체</t>
    </r>
  </si>
  <si>
    <t xml:space="preserve">bath_bathmat_wash</t>
  </si>
  <si>
    <t xml:space="preserve">욕실 발매트 세탁</t>
  </si>
  <si>
    <t xml:space="preserve">bath_slipper</t>
  </si>
  <si>
    <t xml:space="preserve">욕실 슬리퍼</t>
  </si>
  <si>
    <t xml:space="preserve">bath_drain_net</t>
  </si>
  <si>
    <t xml:space="preserve">배수구 거름망</t>
  </si>
  <si>
    <t xml:space="preserve">bath_toiletbrush</t>
  </si>
  <si>
    <t xml:space="preserve">변기솔</t>
  </si>
  <si>
    <t xml:space="preserve">bath_curtain_wash</t>
  </si>
  <si>
    <t xml:space="preserve">샤워커튼 세탁</t>
  </si>
  <si>
    <t xml:space="preserve">곰팡이 발생 전 주기적 세탁</t>
  </si>
  <si>
    <t xml:space="preserve">bath_soapnet</t>
  </si>
  <si>
    <t xml:space="preserve">비누 거품망</t>
  </si>
  <si>
    <t xml:space="preserve">bath_cup_clean</t>
  </si>
  <si>
    <r>
      <rPr>
        <b val="true"/>
        <sz val="10"/>
        <rFont val="Noto Sans CJK SC"/>
        <family val="2"/>
      </rPr>
      <t xml:space="preserve">양치컵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칫솔꽂이 세척</t>
    </r>
  </si>
  <si>
    <t xml:space="preserve">바닥 물때가 세균 온상</t>
  </si>
  <si>
    <t xml:space="preserve">bath_toothpaste</t>
  </si>
  <si>
    <r>
      <rPr>
        <b val="true"/>
        <sz val="10"/>
        <rFont val="Noto Sans CJK SC"/>
        <family val="2"/>
      </rPr>
      <t xml:space="preserve">치약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</si>
  <si>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개봉일</t>
  </si>
  <si>
    <r>
      <rPr>
        <sz val="9"/>
        <color rgb="FF595959"/>
        <rFont val="Noto Sans CJK SC"/>
        <family val="2"/>
      </rPr>
      <t xml:space="preserve">개봉 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년</t>
    </r>
  </si>
  <si>
    <t xml:space="preserve">bath_mouthwash</t>
  </si>
  <si>
    <r>
      <rPr>
        <b val="true"/>
        <sz val="10"/>
        <rFont val="Noto Sans CJK SC"/>
        <family val="2"/>
      </rPr>
      <t xml:space="preserve">구강청결제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</si>
  <si>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bath_hairbrush_clean</t>
  </si>
  <si>
    <t xml:space="preserve">헤어브러시 세척</t>
  </si>
  <si>
    <t xml:space="preserve">bath_hairbrush</t>
  </si>
  <si>
    <t xml:space="preserve">헤어브러시 교체</t>
  </si>
  <si>
    <t xml:space="preserve">bath_mold_clean</t>
  </si>
  <si>
    <t xml:space="preserve">욕실 곰팡이 청소</t>
  </si>
  <si>
    <t xml:space="preserve">bath_showerhead_clean</t>
  </si>
  <si>
    <t xml:space="preserve">샤워기 헤드 세척</t>
  </si>
  <si>
    <r>
      <rPr>
        <sz val="9"/>
        <color rgb="FF595959"/>
        <rFont val="Noto Sans CJK SC"/>
        <family val="2"/>
      </rPr>
      <t xml:space="preserve">구연산 세척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부품 교체 아님</t>
    </r>
  </si>
  <si>
    <t xml:space="preserve">bath_sponge</t>
  </si>
  <si>
    <t xml:space="preserve">목욕 스펀지</t>
  </si>
  <si>
    <t xml:space="preserve">bath_nailclipper</t>
  </si>
  <si>
    <t xml:space="preserve">손톱깎이 소독</t>
  </si>
  <si>
    <t xml:space="preserve">kit_sponge</t>
  </si>
  <si>
    <t xml:space="preserve">수세미</t>
  </si>
  <si>
    <t xml:space="preserve">주방</t>
  </si>
  <si>
    <r>
      <rPr>
        <sz val="9"/>
        <color rgb="FF595959"/>
        <rFont val="Noto Sans CJK SC"/>
        <family val="2"/>
      </rPr>
      <t xml:space="preserve">젖은 수세미는 세균 다수</t>
    </r>
    <r>
      <rPr>
        <sz val="9"/>
        <color rgb="FF595959"/>
        <rFont val="Arial"/>
        <family val="0"/>
        <charset val="1"/>
      </rPr>
      <t xml:space="preserve">. 1</t>
    </r>
    <r>
      <rPr>
        <sz val="9"/>
        <color rgb="FF595959"/>
        <rFont val="Noto Sans CJK SC"/>
        <family val="2"/>
      </rPr>
      <t xml:space="preserve">개월 권장</t>
    </r>
  </si>
  <si>
    <t xml:space="preserve">kit_dishcloth</t>
  </si>
  <si>
    <t xml:space="preserve">행주</t>
  </si>
  <si>
    <t xml:space="preserve">삶거나 교체</t>
  </si>
  <si>
    <t xml:space="preserve">kit_gloves</t>
  </si>
  <si>
    <t xml:space="preserve">고무장갑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</si>
  <si>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개월 권장</t>
    </r>
  </si>
  <si>
    <t xml:space="preserve">kit_board_plastic</t>
  </si>
  <si>
    <r>
      <rPr>
        <b val="true"/>
        <sz val="10"/>
        <rFont val="Noto Sans CJK SC"/>
        <family val="2"/>
      </rPr>
      <t xml:space="preserve">도마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플라스틱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</si>
  <si>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칼자국 홈에 세균</t>
    </r>
    <r>
      <rPr>
        <sz val="9"/>
        <color rgb="FF595959"/>
        <rFont val="Arial"/>
        <family val="0"/>
        <charset val="1"/>
      </rPr>
      <t xml:space="preserve">. 1</t>
    </r>
    <r>
      <rPr>
        <sz val="9"/>
        <color rgb="FF595959"/>
        <rFont val="Noto Sans CJK SC"/>
        <family val="2"/>
      </rPr>
      <t xml:space="preserve">년 권장</t>
    </r>
  </si>
  <si>
    <t xml:space="preserve">kit_board_wood</t>
  </si>
  <si>
    <r>
      <rPr>
        <b val="true"/>
        <sz val="10"/>
        <rFont val="Noto Sans CJK SC"/>
        <family val="2"/>
      </rPr>
      <t xml:space="preserve">도마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나무</t>
    </r>
    <r>
      <rPr>
        <b val="true"/>
        <sz val="10"/>
        <rFont val="Arial"/>
        <family val="0"/>
        <charset val="1"/>
      </rPr>
      <t xml:space="preserve">)</t>
    </r>
  </si>
  <si>
    <t xml:space="preserve">kit_pan_coated</t>
  </si>
  <si>
    <r>
      <rPr>
        <b val="true"/>
        <sz val="10"/>
        <rFont val="Noto Sans CJK SC"/>
        <family val="2"/>
      </rPr>
      <t xml:space="preserve">프라이팬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코팅</t>
    </r>
    <r>
      <rPr>
        <b val="true"/>
        <sz val="10"/>
        <rFont val="Arial"/>
        <family val="0"/>
        <charset val="1"/>
      </rPr>
      <t xml:space="preserve">)</t>
    </r>
  </si>
  <si>
    <t xml:space="preserve">코팅 벗겨지면 즉시 교체</t>
  </si>
  <si>
    <t xml:space="preserve">kit_knife_sharpen</t>
  </si>
  <si>
    <t xml:space="preserve">칼 연마</t>
  </si>
  <si>
    <t xml:space="preserve">kit_wood_utensil</t>
  </si>
  <si>
    <r>
      <rPr>
        <b val="true"/>
        <sz val="10"/>
        <rFont val="Noto Sans CJK SC"/>
        <family val="2"/>
      </rPr>
      <t xml:space="preserve">나무 수저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주걱</t>
    </r>
  </si>
  <si>
    <t xml:space="preserve">kit_silicone</t>
  </si>
  <si>
    <t xml:space="preserve">실리콘 조리도구</t>
  </si>
  <si>
    <t xml:space="preserve">kit_container</t>
  </si>
  <si>
    <t xml:space="preserve">플라스틱 밀폐용기</t>
  </si>
  <si>
    <r>
      <rPr>
        <sz val="9"/>
        <color rgb="FF595959"/>
        <rFont val="Noto Sans CJK SC"/>
        <family val="2"/>
      </rPr>
      <t xml:space="preserve">흠집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변색 시 교체</t>
    </r>
    <r>
      <rPr>
        <sz val="9"/>
        <color rgb="FF595959"/>
        <rFont val="Arial"/>
        <family val="0"/>
        <charset val="1"/>
      </rPr>
      <t xml:space="preserve">. 3</t>
    </r>
    <r>
      <rPr>
        <sz val="9"/>
        <color rgb="FF595959"/>
        <rFont val="Noto Sans CJK SC"/>
        <family val="2"/>
      </rPr>
      <t xml:space="preserve">개월 이상 권장하지 않음</t>
    </r>
  </si>
  <si>
    <t xml:space="preserve">kit_container_seal</t>
  </si>
  <si>
    <t xml:space="preserve">밀폐용기 패킹</t>
  </si>
  <si>
    <t xml:space="preserve">kit_tumbler_seal</t>
  </si>
  <si>
    <t xml:space="preserve">텀블러 패킹</t>
  </si>
  <si>
    <t xml:space="preserve">패킹 틈이 곰팡이 발생 지점</t>
  </si>
  <si>
    <t xml:space="preserve">kit_sink_net</t>
  </si>
  <si>
    <t xml:space="preserve">싱크대 배수구망</t>
  </si>
  <si>
    <t xml:space="preserve">kit_foodbin_clean</t>
  </si>
  <si>
    <t xml:space="preserve">음식물 쓰레기통 세척</t>
  </si>
  <si>
    <t xml:space="preserve">kit_fridge_deo</t>
  </si>
  <si>
    <t xml:space="preserve">냉장고 탈취제</t>
  </si>
  <si>
    <t xml:space="preserve">kit_fridge_clean</t>
  </si>
  <si>
    <t xml:space="preserve">냉장고 청소</t>
  </si>
  <si>
    <t xml:space="preserve">kit_kettle_clean</t>
  </si>
  <si>
    <t xml:space="preserve">전기포트 세척</t>
  </si>
  <si>
    <t xml:space="preserve">구연산 세척</t>
  </si>
  <si>
    <t xml:space="preserve">kit_coffee_clean</t>
  </si>
  <si>
    <t xml:space="preserve">커피머신 세척</t>
  </si>
  <si>
    <t xml:space="preserve">kit_grinder_clean</t>
  </si>
  <si>
    <t xml:space="preserve">커피 그라인더 청소</t>
  </si>
  <si>
    <t xml:space="preserve">kit_oil</t>
  </si>
  <si>
    <r>
      <rPr>
        <b val="true"/>
        <sz val="10"/>
        <rFont val="Noto Sans CJK SC"/>
        <family val="2"/>
      </rPr>
      <t xml:space="preserve">식용유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</si>
  <si>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산패 주의</t>
  </si>
  <si>
    <t xml:space="preserve">kit_sesame</t>
  </si>
  <si>
    <r>
      <rPr>
        <b val="true"/>
        <sz val="10"/>
        <rFont val="Noto Sans CJK SC"/>
        <family val="2"/>
      </rPr>
      <t xml:space="preserve">참기름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들기름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</si>
  <si>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산패가 빠름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냉장 보관 권장</t>
    </r>
  </si>
  <si>
    <t xml:space="preserve">kit_soy</t>
  </si>
  <si>
    <r>
      <rPr>
        <b val="true"/>
        <sz val="10"/>
        <rFont val="Noto Sans CJK SC"/>
        <family val="2"/>
      </rPr>
      <t xml:space="preserve">간장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</si>
  <si>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kit_paste</t>
  </si>
  <si>
    <r>
      <rPr>
        <b val="true"/>
        <sz val="10"/>
        <rFont val="Noto Sans CJK SC"/>
        <family val="2"/>
      </rPr>
      <t xml:space="preserve">고추장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된장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</si>
  <si>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kit_sauce</t>
  </si>
  <si>
    <r>
      <rPr>
        <b val="true"/>
        <sz val="10"/>
        <rFont val="Noto Sans CJK SC"/>
        <family val="2"/>
      </rPr>
      <t xml:space="preserve">케첩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마요네즈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</si>
  <si>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마요네즈는 개봉 후 냉장 </t>
    </r>
    <r>
      <rPr>
        <sz val="9"/>
        <color rgb="FF595959"/>
        <rFont val="Arial"/>
        <family val="0"/>
        <charset val="1"/>
      </rPr>
      <t xml:space="preserve">1~2</t>
    </r>
    <r>
      <rPr>
        <sz val="9"/>
        <color rgb="FF595959"/>
        <rFont val="Noto Sans CJK SC"/>
        <family val="2"/>
      </rPr>
      <t xml:space="preserve">개월</t>
    </r>
  </si>
  <si>
    <t xml:space="preserve">kit_spice</t>
  </si>
  <si>
    <r>
      <rPr>
        <b val="true"/>
        <sz val="10"/>
        <rFont val="Noto Sans CJK SC"/>
        <family val="2"/>
      </rPr>
      <t xml:space="preserve">가루 조미료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</si>
  <si>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kit_towelholder</t>
  </si>
  <si>
    <t xml:space="preserve">키친타월 홀더 청소</t>
  </si>
  <si>
    <t xml:space="preserve">kit_cutlery_clean</t>
  </si>
  <si>
    <t xml:space="preserve">수저통 세척</t>
  </si>
  <si>
    <t xml:space="preserve">바닥 고인 물이 문제</t>
  </si>
  <si>
    <t xml:space="preserve">kit_mat_wash</t>
  </si>
  <si>
    <t xml:space="preserve">주방 매트 세탁</t>
  </si>
  <si>
    <t xml:space="preserve">kit_apron_wash</t>
  </si>
  <si>
    <t xml:space="preserve">앞치마 세탁</t>
  </si>
  <si>
    <t xml:space="preserve">kit_trivet</t>
  </si>
  <si>
    <t xml:space="preserve">냄비받침</t>
  </si>
  <si>
    <t xml:space="preserve">bed_sheet_wash</t>
  </si>
  <si>
    <r>
      <rPr>
        <b val="true"/>
        <sz val="10"/>
        <rFont val="Noto Sans CJK SC"/>
        <family val="2"/>
      </rPr>
      <t xml:space="preserve">침구 세탁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시트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커버</t>
    </r>
    <r>
      <rPr>
        <b val="true"/>
        <sz val="10"/>
        <rFont val="Arial"/>
        <family val="0"/>
        <charset val="1"/>
      </rPr>
      <t xml:space="preserve">)</t>
    </r>
  </si>
  <si>
    <t xml:space="preserve">침실</t>
  </si>
  <si>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주 권장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땀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각질 축적</t>
    </r>
  </si>
  <si>
    <t xml:space="preserve">bed_pillow</t>
  </si>
  <si>
    <t xml:space="preserve">베개</t>
  </si>
  <si>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개월 권장</t>
    </r>
  </si>
  <si>
    <t xml:space="preserve">bed_pillow_wash</t>
  </si>
  <si>
    <t xml:space="preserve">베개 세탁</t>
  </si>
  <si>
    <t xml:space="preserve">bed_pillowcase_wash</t>
  </si>
  <si>
    <t xml:space="preserve">베갯잇 세탁</t>
  </si>
  <si>
    <r>
      <rPr>
        <sz val="9"/>
        <color rgb="FF595959"/>
        <rFont val="Noto Sans CJK SC"/>
        <family val="2"/>
      </rPr>
      <t xml:space="preserve">얼굴이 닿는 면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</t>
    </r>
  </si>
  <si>
    <t xml:space="preserve">bed_duvet_wash</t>
  </si>
  <si>
    <t xml:space="preserve">이불 세탁</t>
  </si>
  <si>
    <t xml:space="preserve">bed_mattress</t>
  </si>
  <si>
    <t xml:space="preserve">매트리스</t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</si>
  <si>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년</t>
    </r>
  </si>
  <si>
    <t xml:space="preserve">bed_mattress_cover</t>
  </si>
  <si>
    <t xml:space="preserve">매트리스 커버 세탁</t>
  </si>
  <si>
    <t xml:space="preserve">bed_mattress_flip</t>
  </si>
  <si>
    <t xml:space="preserve">매트리스 회전</t>
  </si>
  <si>
    <t xml:space="preserve">눌림 방지</t>
  </si>
  <si>
    <t xml:space="preserve">bed_blanket_wash</t>
  </si>
  <si>
    <t xml:space="preserve">담요 세탁</t>
  </si>
  <si>
    <t xml:space="preserve">bed_pajama_wash</t>
  </si>
  <si>
    <t xml:space="preserve">잠옷 세탁</t>
  </si>
  <si>
    <t xml:space="preserve">bed_eyemask</t>
  </si>
  <si>
    <t xml:space="preserve">안대 세탁</t>
  </si>
  <si>
    <t xml:space="preserve">bed_curtain_wash</t>
  </si>
  <si>
    <t xml:space="preserve">커튼 세탁</t>
  </si>
  <si>
    <t xml:space="preserve">bed_rug_wash</t>
  </si>
  <si>
    <r>
      <rPr>
        <b val="true"/>
        <sz val="10"/>
        <rFont val="Noto Sans CJK SC"/>
        <family val="2"/>
      </rPr>
      <t xml:space="preserve">러그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카펫 세탁</t>
    </r>
  </si>
  <si>
    <t xml:space="preserve">bed_electricmat</t>
  </si>
  <si>
    <t xml:space="preserve">전기장판 점검</t>
  </si>
  <si>
    <t xml:space="preserve">겨울</t>
  </si>
  <si>
    <t xml:space="preserve">겨울 시작 시 전선 피복 확인</t>
  </si>
  <si>
    <t xml:space="preserve">bed_humidifier_clean</t>
  </si>
  <si>
    <t xml:space="preserve">가습기 세척</t>
  </si>
  <si>
    <r>
      <rPr>
        <sz val="9"/>
        <color rgb="FF595959"/>
        <rFont val="Noto Sans CJK SC"/>
        <family val="2"/>
      </rPr>
      <t xml:space="preserve">세균 번식 빠름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 이상</t>
    </r>
  </si>
  <si>
    <t xml:space="preserve">bed_underbed_clean</t>
  </si>
  <si>
    <t xml:space="preserve">침대 밑 청소</t>
  </si>
  <si>
    <t xml:space="preserve">liv_vac_bag</t>
  </si>
  <si>
    <t xml:space="preserve">청소기 먼지봉투</t>
  </si>
  <si>
    <t xml:space="preserve">거실</t>
  </si>
  <si>
    <t xml:space="preserve">기종별 규격 상이</t>
  </si>
  <si>
    <t xml:space="preserve">liv_vac_head</t>
  </si>
  <si>
    <t xml:space="preserve">청소기 헤드 청소</t>
  </si>
  <si>
    <t xml:space="preserve">머리카락 엉킴 제거</t>
  </si>
  <si>
    <t xml:space="preserve">liv_vac_battery</t>
  </si>
  <si>
    <t xml:space="preserve">무선청소기 배터리</t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</si>
  <si>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사용 시간 절반으로 줄면 교체</t>
    </r>
  </si>
  <si>
    <t xml:space="preserve">liv_mop_pad</t>
  </si>
  <si>
    <t xml:space="preserve">물걸레 패드</t>
  </si>
  <si>
    <t xml:space="preserve">liv_wipe_sheet</t>
  </si>
  <si>
    <t xml:space="preserve">청소포 재고 확인</t>
  </si>
  <si>
    <t xml:space="preserve">liv_mop</t>
  </si>
  <si>
    <t xml:space="preserve">밀대 걸레</t>
  </si>
  <si>
    <t xml:space="preserve">liv_bin_clean</t>
  </si>
  <si>
    <t xml:space="preserve">쓰레기통 세척</t>
  </si>
  <si>
    <t xml:space="preserve">liv_sofa_cover</t>
  </si>
  <si>
    <t xml:space="preserve">소파 커버 세탁</t>
  </si>
  <si>
    <t xml:space="preserve">liv_cushion_cover</t>
  </si>
  <si>
    <t xml:space="preserve">쿠션 커버 세탁</t>
  </si>
  <si>
    <t xml:space="preserve">liv_blind_clean</t>
  </si>
  <si>
    <t xml:space="preserve">블라인드 청소</t>
  </si>
  <si>
    <t xml:space="preserve">liv_screen_clean</t>
  </si>
  <si>
    <t xml:space="preserve">방충망 청소</t>
  </si>
  <si>
    <t xml:space="preserve">liv_window_clean</t>
  </si>
  <si>
    <t xml:space="preserve">창틀 청소</t>
  </si>
  <si>
    <t xml:space="preserve">liv_remote_battery</t>
  </si>
  <si>
    <t xml:space="preserve">리모컨 건전지</t>
  </si>
  <si>
    <t xml:space="preserve">liv_clock_battery</t>
  </si>
  <si>
    <t xml:space="preserve">벽시계 건전지</t>
  </si>
  <si>
    <t xml:space="preserve">liv_doorlock_battery</t>
  </si>
  <si>
    <t xml:space="preserve">도어락 건전지</t>
  </si>
  <si>
    <t xml:space="preserve">방전되면 문이 안 열린다</t>
  </si>
  <si>
    <t xml:space="preserve">liv_diffuser</t>
  </si>
  <si>
    <r>
      <rPr>
        <b val="true"/>
        <sz val="10"/>
        <rFont val="Noto Sans CJK SC"/>
        <family val="2"/>
      </rPr>
      <t xml:space="preserve">방향제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디퓨저</t>
    </r>
  </si>
  <si>
    <t xml:space="preserve">liv_dehumidifier</t>
  </si>
  <si>
    <t xml:space="preserve">제습제</t>
  </si>
  <si>
    <t xml:space="preserve">여름</t>
  </si>
  <si>
    <t xml:space="preserve">장마철 교체 주기 단축</t>
  </si>
  <si>
    <t xml:space="preserve">liv_mothball</t>
  </si>
  <si>
    <t xml:space="preserve">옷장 방충제</t>
  </si>
  <si>
    <t xml:space="preserve">liv_plant_water</t>
  </si>
  <si>
    <t xml:space="preserve">화분 물주기</t>
  </si>
  <si>
    <t xml:space="preserve">식물 종류에 따라 조정</t>
  </si>
  <si>
    <t xml:space="preserve">liv_plant_repot</t>
  </si>
  <si>
    <t xml:space="preserve">화분 분갈이</t>
  </si>
  <si>
    <t xml:space="preserve">liv_fan_clean</t>
  </si>
  <si>
    <t xml:space="preserve">선풍기 청소</t>
  </si>
  <si>
    <t xml:space="preserve">여름 시즌에만 카운트</t>
  </si>
  <si>
    <t xml:space="preserve">liv_light_clean</t>
  </si>
  <si>
    <t xml:space="preserve">조명 청소</t>
  </si>
  <si>
    <t xml:space="preserve">liv_shoe_deo</t>
  </si>
  <si>
    <t xml:space="preserve">신발장 탈취제</t>
  </si>
  <si>
    <t xml:space="preserve">per_lens_daily</t>
  </si>
  <si>
    <r>
      <rPr>
        <b val="true"/>
        <sz val="10"/>
        <rFont val="Noto Sans CJK SC"/>
        <family val="2"/>
      </rPr>
      <t xml:space="preserve">콘택트렌즈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원데이</t>
    </r>
    <r>
      <rPr>
        <b val="true"/>
        <sz val="10"/>
        <rFont val="Arial"/>
        <family val="0"/>
        <charset val="1"/>
      </rPr>
      <t xml:space="preserve">)</t>
    </r>
  </si>
  <si>
    <t xml:space="preserve">미용</t>
  </si>
  <si>
    <t xml:space="preserve">재사용 금지</t>
  </si>
  <si>
    <t xml:space="preserve">per_lens_2week</t>
  </si>
  <si>
    <r>
      <rPr>
        <b val="true"/>
        <sz val="10"/>
        <rFont val="Noto Sans CJK SC"/>
        <family val="2"/>
      </rPr>
      <t xml:space="preserve">콘택트렌즈 </t>
    </r>
    <r>
      <rPr>
        <b val="true"/>
        <sz val="10"/>
        <rFont val="Arial"/>
        <family val="0"/>
        <charset val="1"/>
      </rPr>
      <t xml:space="preserve">(2</t>
    </r>
    <r>
      <rPr>
        <b val="true"/>
        <sz val="10"/>
        <rFont val="Noto Sans CJK SC"/>
        <family val="2"/>
      </rPr>
      <t xml:space="preserve">주용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</si>
  <si>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착용 횟수 기준은 </t>
    </r>
    <r>
      <rPr>
        <sz val="9"/>
        <color rgb="FF595959"/>
        <rFont val="Arial"/>
        <family val="0"/>
        <charset val="1"/>
      </rPr>
      <t xml:space="preserve">Phase 4</t>
    </r>
  </si>
  <si>
    <t xml:space="preserve">per_lens_month</t>
  </si>
  <si>
    <r>
      <rPr>
        <b val="true"/>
        <sz val="10"/>
        <rFont val="Noto Sans CJK SC"/>
        <family val="2"/>
      </rPr>
      <t xml:space="preserve">콘택트렌즈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한달용</t>
    </r>
    <r>
      <rPr>
        <b val="true"/>
        <sz val="10"/>
        <rFont val="Arial"/>
        <family val="0"/>
        <charset val="1"/>
      </rPr>
      <t xml:space="preserve">)</t>
    </r>
  </si>
  <si>
    <t xml:space="preserve">per_lens_case</t>
  </si>
  <si>
    <t xml:space="preserve">렌즈 케이스</t>
  </si>
  <si>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개월 권장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세균 감염 위험</t>
    </r>
  </si>
  <si>
    <t xml:space="preserve">per_lens_solution</t>
  </si>
  <si>
    <r>
      <rPr>
        <b val="true"/>
        <sz val="10"/>
        <rFont val="Noto Sans CJK SC"/>
        <family val="2"/>
      </rPr>
      <t xml:space="preserve">렌즈 세척액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</si>
  <si>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개봉 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개월</t>
    </r>
  </si>
  <si>
    <t xml:space="preserve">per_glasses_check</t>
  </si>
  <si>
    <r>
      <rPr>
        <b val="true"/>
        <sz val="10"/>
        <rFont val="Noto Sans CJK SC"/>
        <family val="2"/>
      </rPr>
      <t xml:space="preserve">안경 나사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코받침 점검</t>
    </r>
  </si>
  <si>
    <t xml:space="preserve">per_sunscreen</t>
  </si>
  <si>
    <r>
      <rPr>
        <b val="true"/>
        <sz val="10"/>
        <rFont val="Noto Sans CJK SC"/>
        <family val="2"/>
      </rPr>
      <t xml:space="preserve">선크림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</si>
  <si>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PAO </t>
    </r>
    <r>
      <rPr>
        <sz val="9"/>
        <color rgb="FF595959"/>
        <rFont val="Noto Sans CJK SC"/>
        <family val="2"/>
      </rPr>
      <t xml:space="preserve">표기 우선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보통 </t>
    </r>
    <r>
      <rPr>
        <sz val="9"/>
        <color rgb="FF595959"/>
        <rFont val="Arial"/>
        <family val="0"/>
        <charset val="1"/>
      </rPr>
      <t xml:space="preserve">12M</t>
    </r>
  </si>
  <si>
    <t xml:space="preserve">per_foundation</t>
  </si>
  <si>
    <r>
      <rPr>
        <b val="true"/>
        <sz val="10"/>
        <rFont val="Noto Sans CJK SC"/>
        <family val="2"/>
      </rPr>
      <t xml:space="preserve">파운데이션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</si>
  <si>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보통 </t>
    </r>
    <r>
      <rPr>
        <sz val="9"/>
        <color rgb="FF595959"/>
        <rFont val="Arial"/>
        <family val="0"/>
        <charset val="1"/>
      </rPr>
      <t xml:space="preserve">12M</t>
    </r>
  </si>
  <si>
    <t xml:space="preserve">per_cushion</t>
  </si>
  <si>
    <r>
      <rPr>
        <b val="true"/>
        <sz val="10"/>
        <rFont val="Noto Sans CJK SC"/>
        <family val="2"/>
      </rPr>
      <t xml:space="preserve">쿠션팩트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</si>
  <si>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퍼프는 별도 교체</t>
  </si>
  <si>
    <t xml:space="preserve">per_mascara</t>
  </si>
  <si>
    <r>
      <rPr>
        <b val="true"/>
        <sz val="10"/>
        <rFont val="Noto Sans CJK SC"/>
        <family val="2"/>
      </rPr>
      <t xml:space="preserve">마스카라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</si>
  <si>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3~6</t>
    </r>
    <r>
      <rPr>
        <sz val="9"/>
        <color rgb="FF595959"/>
        <rFont val="Noto Sans CJK SC"/>
        <family val="2"/>
      </rPr>
      <t xml:space="preserve">개월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눈 감염 위험으로 가장 짧음</t>
    </r>
  </si>
  <si>
    <t xml:space="preserve">per_eyeliner</t>
  </si>
  <si>
    <r>
      <rPr>
        <b val="true"/>
        <sz val="10"/>
        <rFont val="Noto Sans CJK SC"/>
        <family val="2"/>
      </rPr>
      <t xml:space="preserve">아이라이너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</si>
  <si>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리퀴드 기준</t>
  </si>
  <si>
    <t xml:space="preserve">per_eyeshadow</t>
  </si>
  <si>
    <r>
      <rPr>
        <b val="true"/>
        <sz val="10"/>
        <rFont val="Noto Sans CJK SC"/>
        <family val="2"/>
      </rPr>
      <t xml:space="preserve">아이섀도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</si>
  <si>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파우더 제형은 상대적으로 김</t>
  </si>
  <si>
    <t xml:space="preserve">per_lipstick</t>
  </si>
  <si>
    <r>
      <rPr>
        <b val="true"/>
        <sz val="10"/>
        <rFont val="Noto Sans CJK SC"/>
        <family val="2"/>
      </rPr>
      <t xml:space="preserve">립스틱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</si>
  <si>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개월</t>
    </r>
  </si>
  <si>
    <t xml:space="preserve">per_lipbalm</t>
  </si>
  <si>
    <r>
      <rPr>
        <b val="true"/>
        <sz val="10"/>
        <rFont val="Noto Sans CJK SC"/>
        <family val="2"/>
      </rPr>
      <t xml:space="preserve">립밤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</si>
  <si>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per_toner</t>
  </si>
  <si>
    <r>
      <rPr>
        <b val="true"/>
        <sz val="10"/>
        <rFont val="Noto Sans CJK SC"/>
        <family val="2"/>
      </rPr>
      <t xml:space="preserve">스킨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토너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</si>
  <si>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per_lotion</t>
  </si>
  <si>
    <r>
      <rPr>
        <b val="true"/>
        <sz val="10"/>
        <rFont val="Noto Sans CJK SC"/>
        <family val="2"/>
      </rPr>
      <t xml:space="preserve">로션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에멀전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</si>
  <si>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per_serum</t>
  </si>
  <si>
    <r>
      <rPr>
        <b val="true"/>
        <sz val="10"/>
        <rFont val="Noto Sans CJK SC"/>
        <family val="2"/>
      </rPr>
      <t xml:space="preserve">에센스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세럼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</si>
  <si>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per_eyecream</t>
  </si>
  <si>
    <r>
      <rPr>
        <b val="true"/>
        <sz val="10"/>
        <rFont val="Noto Sans CJK SC"/>
        <family val="2"/>
      </rPr>
      <t xml:space="preserve">아이크림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</si>
  <si>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per_vitc</t>
  </si>
  <si>
    <r>
      <rPr>
        <b val="true"/>
        <sz val="10"/>
        <rFont val="Noto Sans CJK SC"/>
        <family val="2"/>
      </rPr>
      <t xml:space="preserve">비타민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세럼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</si>
  <si>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산화가 빠른 액티브 성분</t>
  </si>
  <si>
    <t xml:space="preserve">per_retinol</t>
  </si>
  <si>
    <r>
      <rPr>
        <b val="true"/>
        <sz val="10"/>
        <rFont val="Noto Sans CJK SC"/>
        <family val="2"/>
      </rPr>
      <t xml:space="preserve">레티놀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</si>
  <si>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빛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공기에 불안정</t>
    </r>
  </si>
  <si>
    <t xml:space="preserve">per_cleanser</t>
  </si>
  <si>
    <r>
      <rPr>
        <b val="true"/>
        <sz val="10"/>
        <rFont val="Noto Sans CJK SC"/>
        <family val="2"/>
      </rPr>
      <t xml:space="preserve">클렌징폼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</si>
  <si>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per_cleansing_oil</t>
  </si>
  <si>
    <r>
      <rPr>
        <b val="true"/>
        <sz val="10"/>
        <rFont val="Noto Sans CJK SC"/>
        <family val="2"/>
      </rPr>
      <t xml:space="preserve">클렌징 오일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</si>
  <si>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per_perfume</t>
  </si>
  <si>
    <r>
      <rPr>
        <b val="true"/>
        <sz val="10"/>
        <rFont val="Noto Sans CJK SC"/>
        <family val="2"/>
      </rPr>
      <t xml:space="preserve">향수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</si>
  <si>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직사광선 피할 것</t>
    </r>
  </si>
  <si>
    <t xml:space="preserve">per_nail</t>
  </si>
  <si>
    <r>
      <rPr>
        <b val="true"/>
        <sz val="10"/>
        <rFont val="Noto Sans CJK SC"/>
        <family val="2"/>
      </rPr>
      <t xml:space="preserve">네일 폴리시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</si>
  <si>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per_brush_clean</t>
  </si>
  <si>
    <t xml:space="preserve">메이크업 브러시 세척</t>
  </si>
  <si>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주 권장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세균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트러블 원인</t>
    </r>
  </si>
  <si>
    <t xml:space="preserve">per_brush</t>
  </si>
  <si>
    <t xml:space="preserve">메이크업 브러시 교체</t>
  </si>
  <si>
    <t xml:space="preserve">per_puff</t>
  </si>
  <si>
    <r>
      <rPr>
        <b val="true"/>
        <sz val="10"/>
        <rFont val="Noto Sans CJK SC"/>
        <family val="2"/>
      </rPr>
      <t xml:space="preserve">퍼프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스펀지</t>
    </r>
  </si>
  <si>
    <t xml:space="preserve">per_shavecream</t>
  </si>
  <si>
    <r>
      <rPr>
        <b val="true"/>
        <sz val="10"/>
        <rFont val="Noto Sans CJK SC"/>
        <family val="2"/>
      </rPr>
      <t xml:space="preserve">면도크림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</si>
  <si>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per_deodorant</t>
  </si>
  <si>
    <r>
      <rPr>
        <b val="true"/>
        <sz val="10"/>
        <rFont val="Noto Sans CJK SC"/>
        <family val="2"/>
      </rPr>
      <t xml:space="preserve">데오드란트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</si>
  <si>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per_hairdye_check</t>
  </si>
  <si>
    <t xml:space="preserve">염색 주기</t>
  </si>
  <si>
    <t xml:space="preserve">두피 회복 위해 최소 간격 유지</t>
  </si>
  <si>
    <t xml:space="preserve">hel_supplement</t>
  </si>
  <si>
    <r>
      <rPr>
        <b val="true"/>
        <sz val="10"/>
        <rFont val="Noto Sans CJK SC"/>
        <family val="2"/>
      </rPr>
      <t xml:space="preserve">영양제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</si>
  <si>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건강</t>
  </si>
  <si>
    <t xml:space="preserve">제품 표기 우선</t>
  </si>
  <si>
    <t xml:space="preserve">hel_probiotic</t>
  </si>
  <si>
    <r>
      <rPr>
        <b val="true"/>
        <sz val="10"/>
        <rFont val="Noto Sans CJK SC"/>
        <family val="2"/>
      </rPr>
      <t xml:space="preserve">유산균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</si>
  <si>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냉장 보관 제품 다수</t>
  </si>
  <si>
    <t xml:space="preserve">hel_medicine_check</t>
  </si>
  <si>
    <t xml:space="preserve">상비약 유효기간 점검</t>
  </si>
  <si>
    <t xml:space="preserve">안전 품목 — 주기 자동 조정 제외</t>
  </si>
  <si>
    <t xml:space="preserve">hel_firstaid_check</t>
  </si>
  <si>
    <t xml:space="preserve">구급상자 점검</t>
  </si>
  <si>
    <t xml:space="preserve">hel_mask</t>
  </si>
  <si>
    <r>
      <rPr>
        <b val="true"/>
        <sz val="10"/>
        <rFont val="Noto Sans CJK SC"/>
        <family val="2"/>
      </rPr>
      <t xml:space="preserve">마스크 </t>
    </r>
    <r>
      <rPr>
        <b val="true"/>
        <sz val="10"/>
        <rFont val="Arial"/>
        <family val="0"/>
        <charset val="1"/>
      </rPr>
      <t xml:space="preserve">(KF)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</si>
  <si>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회용 원칙</t>
    </r>
  </si>
  <si>
    <t xml:space="preserve">hel_thermometer_bat</t>
  </si>
  <si>
    <t xml:space="preserve">체온계 건전지</t>
  </si>
  <si>
    <t xml:space="preserve">hel_bp_check</t>
  </si>
  <si>
    <t xml:space="preserve">혈압계 점검</t>
  </si>
  <si>
    <t xml:space="preserve">hel_sanitizer</t>
  </si>
  <si>
    <r>
      <rPr>
        <b val="true"/>
        <sz val="10"/>
        <rFont val="Noto Sans CJK SC"/>
        <family val="2"/>
      </rPr>
      <t xml:space="preserve">손소독제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개봉 후</t>
    </r>
    <r>
      <rPr>
        <b val="true"/>
        <sz val="10"/>
        <rFont val="Arial"/>
        <family val="0"/>
        <charset val="1"/>
      </rPr>
      <t xml:space="preserve">)</t>
    </r>
  </si>
  <si>
    <t xml:space="preserve">알코올 휘발로 효과 저하</t>
  </si>
  <si>
    <t xml:space="preserve">hel_bandage_check</t>
  </si>
  <si>
    <r>
      <rPr>
        <b val="true"/>
        <sz val="10"/>
        <rFont val="Noto Sans CJK SC"/>
        <family val="2"/>
      </rPr>
      <t xml:space="preserve">밴드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거즈 점검</t>
    </r>
  </si>
  <si>
    <t xml:space="preserve">hel_heatpack_check</t>
  </si>
  <si>
    <t xml:space="preserve">찜질팩 점검</t>
  </si>
  <si>
    <t xml:space="preserve">saf_smoke_battery</t>
  </si>
  <si>
    <t xml:space="preserve">화재감지기 건전지</t>
  </si>
  <si>
    <t xml:space="preserve">안전</t>
  </si>
  <si>
    <t xml:space="preserve">권장 주기 고수 — 자동 조정 제외</t>
  </si>
  <si>
    <t xml:space="preserve">saf_smoke_unit</t>
  </si>
  <si>
    <t xml:space="preserve">화재감지기 본체</t>
  </si>
  <si>
    <r>
      <rPr>
        <sz val="9"/>
        <color rgb="FF595959"/>
        <rFont val="Noto Sans CJK SC"/>
        <family val="2"/>
      </rPr>
      <t xml:space="preserve">내용연수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년</t>
    </r>
  </si>
  <si>
    <t xml:space="preserve">saf_ext_check</t>
  </si>
  <si>
    <t xml:space="preserve">소화기 압력 점검</t>
  </si>
  <si>
    <t xml:space="preserve">게이지 녹색 범위 확인</t>
  </si>
  <si>
    <t xml:space="preserve">saf_ext_unit</t>
  </si>
  <si>
    <t xml:space="preserve">소화기 교체</t>
  </si>
  <si>
    <t xml:space="preserve">saf_gas_hose</t>
  </si>
  <si>
    <t xml:space="preserve">가스레인지 호스</t>
  </si>
  <si>
    <r>
      <rPr>
        <sz val="9"/>
        <color rgb="FF595959"/>
        <rFont val="Noto Sans CJK SC"/>
        <family val="2"/>
      </rPr>
      <t xml:space="preserve">권장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년</t>
    </r>
  </si>
  <si>
    <t xml:space="preserve">saf_breaker_test</t>
  </si>
  <si>
    <t xml:space="preserve">누전차단기 테스트</t>
  </si>
  <si>
    <r>
      <rPr>
        <sz val="9"/>
        <color rgb="FF595959"/>
        <rFont val="Noto Sans CJK SC"/>
        <family val="2"/>
      </rPr>
      <t xml:space="preserve">월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 테스트 버튼</t>
    </r>
  </si>
  <si>
    <t xml:space="preserve">saf_powerstrip</t>
  </si>
  <si>
    <t xml:space="preserve">멀티탭 교체</t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</si>
  <si>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변색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발열 시 즉시</t>
    </r>
  </si>
  <si>
    <t xml:space="preserve">saf_gas_valve</t>
  </si>
  <si>
    <t xml:space="preserve">가스 밸브 점검</t>
  </si>
  <si>
    <t xml:space="preserve">lau_washer_clean</t>
  </si>
  <si>
    <t xml:space="preserve">세탁조 청소</t>
  </si>
  <si>
    <t xml:space="preserve">세탁</t>
  </si>
  <si>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개월 권장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곰팡이 냄새의 주원인</t>
    </r>
  </si>
  <si>
    <t xml:space="preserve">lau_washer_net</t>
  </si>
  <si>
    <t xml:space="preserve">세탁기 거름망 청소</t>
  </si>
  <si>
    <t xml:space="preserve">lau_dryer_lint</t>
  </si>
  <si>
    <t xml:space="preserve">건조기 먼지 제거</t>
  </si>
  <si>
    <r>
      <rPr>
        <sz val="9"/>
        <color rgb="FF595959"/>
        <rFont val="Noto Sans CJK SC"/>
        <family val="2"/>
      </rPr>
      <t xml:space="preserve">화재 예방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매 사용 권장</t>
    </r>
  </si>
  <si>
    <t xml:space="preserve">lau_runningshoe</t>
  </si>
  <si>
    <t xml:space="preserve">러닝화</t>
  </si>
  <si>
    <t xml:space="preserve">사용량</t>
  </si>
  <si>
    <t xml:space="preserve">km</t>
  </si>
  <si>
    <r>
      <rPr>
        <sz val="9"/>
        <color rgb="FF595959"/>
        <rFont val="Noto Sans CJK SC"/>
        <family val="2"/>
      </rPr>
      <t xml:space="preserve">주행거리 기준 — 사용량 기준 품목 </t>
    </r>
    <r>
      <rPr>
        <sz val="9"/>
        <color rgb="FF595959"/>
        <rFont val="Arial"/>
        <family val="0"/>
        <charset val="1"/>
      </rPr>
      <t xml:space="preserve">(Phase 4)</t>
    </r>
  </si>
  <si>
    <t xml:space="preserve">lau_underwear</t>
  </si>
  <si>
    <t xml:space="preserve">속옷</t>
  </si>
  <si>
    <t xml:space="preserve">lau_socks</t>
  </si>
  <si>
    <t xml:space="preserve">양말</t>
  </si>
  <si>
    <t xml:space="preserve">lau_bra</t>
  </si>
  <si>
    <t xml:space="preserve">브래지어</t>
  </si>
  <si>
    <r>
      <rPr>
        <sz val="9"/>
        <color rgb="FF595959"/>
        <rFont val="Noto Sans CJK SC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개월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형태 변형 시 교체</t>
    </r>
  </si>
  <si>
    <t xml:space="preserve">lau_swimsuit</t>
  </si>
  <si>
    <t xml:space="preserve">수영복</t>
  </si>
  <si>
    <t xml:space="preserve">염소로 인한 신축성 저하</t>
  </si>
  <si>
    <t xml:space="preserve">lau_insole</t>
  </si>
  <si>
    <t xml:space="preserve">신발 깔창</t>
  </si>
  <si>
    <t xml:space="preserve">lau_slipper</t>
  </si>
  <si>
    <t xml:space="preserve">실내 슬리퍼</t>
  </si>
  <si>
    <t xml:space="preserve">lau_umbrella_check</t>
  </si>
  <si>
    <t xml:space="preserve">우산 점검</t>
  </si>
  <si>
    <t xml:space="preserve">lau_shoe_clean</t>
  </si>
  <si>
    <t xml:space="preserve">운동화 세탁</t>
  </si>
  <si>
    <t xml:space="preserve">tec_screenfilm</t>
  </si>
  <si>
    <t xml:space="preserve">휴대폰 액정보호필름</t>
  </si>
  <si>
    <t xml:space="preserve">전자</t>
  </si>
  <si>
    <t xml:space="preserve">tec_phonecase</t>
  </si>
  <si>
    <t xml:space="preserve">휴대폰 케이스</t>
  </si>
  <si>
    <r>
      <rPr>
        <sz val="9"/>
        <color rgb="FF595959"/>
        <rFont val="Noto Sans CJK SC"/>
        <family val="2"/>
      </rPr>
      <t xml:space="preserve">변색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균열 시 교체</t>
    </r>
  </si>
  <si>
    <t xml:space="preserve">tec_eartip</t>
  </si>
  <si>
    <t xml:space="preserve">이어폰 이어팁</t>
  </si>
  <si>
    <r>
      <rPr>
        <sz val="9"/>
        <color rgb="FF595959"/>
        <rFont val="Noto Sans CJK SC"/>
        <family val="2"/>
      </rPr>
      <t xml:space="preserve">실리콘 변형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귀지 축적</t>
    </r>
  </si>
  <si>
    <t xml:space="preserve">tec_cable</t>
  </si>
  <si>
    <t xml:space="preserve">충전 케이블</t>
  </si>
  <si>
    <t xml:space="preserve">피복 벗겨지면 즉시 교체</t>
  </si>
  <si>
    <t xml:space="preserve">tec_keyboard_clean</t>
  </si>
  <si>
    <t xml:space="preserve">키보드 청소</t>
  </si>
  <si>
    <t xml:space="preserve">tec_laptop_clean</t>
  </si>
  <si>
    <t xml:space="preserve">노트북 내부 청소</t>
  </si>
  <si>
    <t xml:space="preserve">팬 먼지 제거</t>
  </si>
  <si>
    <t xml:space="preserve">tec_backup</t>
  </si>
  <si>
    <t xml:space="preserve">데이터 백업 점검</t>
  </si>
  <si>
    <t xml:space="preserve">tec_password</t>
  </si>
  <si>
    <t xml:space="preserve">주요 비밀번호 변경</t>
  </si>
  <si>
    <t xml:space="preserve">제때 프리셋 카탈로그 — 요약</t>
  </si>
  <si>
    <r>
      <rPr>
        <sz val="9"/>
        <color rgb="FF595959"/>
        <rFont val="Noto Sans CJK SC"/>
        <family val="2"/>
      </rPr>
      <t xml:space="preserve">필터류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차량 제외 버전 </t>
    </r>
    <r>
      <rPr>
        <sz val="9"/>
        <color rgb="FF595959"/>
        <rFont val="Arial"/>
        <family val="0"/>
        <charset val="1"/>
      </rPr>
      <t xml:space="preserve">(v0.1)</t>
    </r>
  </si>
  <si>
    <t xml:space="preserve">품목 수</t>
  </si>
  <si>
    <t xml:space="preserve">개봉일 기준</t>
  </si>
  <si>
    <t xml:space="preserve">합계</t>
  </si>
  <si>
    <t xml:space="preserve">주기 분포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</si>
  <si>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 이하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</si>
  <si>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이하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</si>
  <si>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이하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</si>
  <si>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이하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</si>
  <si>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초과</t>
    </r>
  </si>
  <si>
    <r>
      <rPr>
        <b val="true"/>
        <sz val="13"/>
        <rFont val="Noto Sans CJK SC"/>
        <family val="2"/>
      </rPr>
      <t xml:space="preserve">읽는 법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고치는 법</t>
    </r>
  </si>
  <si>
    <t xml:space="preserve">  목록선택</t>
  </si>
  <si>
    <r>
      <rPr>
        <sz val="10"/>
        <rFont val="Noto Sans CJK SC"/>
        <family val="2"/>
      </rPr>
      <t xml:space="preserve">목록에서 탭 한 번으로 등록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오늘이 기준일이 된다</t>
    </r>
  </si>
  <si>
    <t xml:space="preserve">  개봉일</t>
  </si>
  <si>
    <r>
      <rPr>
        <sz val="10"/>
        <rFont val="Noto Sans CJK SC"/>
        <family val="2"/>
      </rPr>
      <t xml:space="preserve">개봉한 날이 기준일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앱에서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오늘 개봉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또는 날짜 선택</t>
    </r>
  </si>
  <si>
    <t xml:space="preserve">  날짜</t>
  </si>
  <si>
    <r>
      <rPr>
        <sz val="10"/>
        <rFont val="Noto Sans CJK SC"/>
        <family val="2"/>
      </rPr>
      <t xml:space="preserve">달력으로 센다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대부분의 품목</t>
    </r>
  </si>
  <si>
    <t xml:space="preserve">  사용량</t>
  </si>
  <si>
    <r>
      <rPr>
        <sz val="10"/>
        <rFont val="Noto Sans CJK SC"/>
        <family val="2"/>
      </rPr>
      <t xml:space="preserve">주행거리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착용 횟수로 센다</t>
    </r>
    <r>
      <rPr>
        <sz val="10"/>
        <rFont val="Arial"/>
        <family val="0"/>
        <charset val="1"/>
      </rPr>
      <t xml:space="preserve">. Phase 4 </t>
    </r>
    <r>
      <rPr>
        <sz val="10"/>
        <rFont val="Noto Sans CJK SC"/>
        <family val="2"/>
      </rPr>
      <t xml:space="preserve">기능</t>
    </r>
  </si>
  <si>
    <t xml:space="preserve">  연중</t>
  </si>
  <si>
    <t xml:space="preserve">항상 카운트</t>
  </si>
  <si>
    <r>
      <rPr>
        <sz val="10"/>
        <rFont val="Noto Sans CJK SC"/>
        <family val="2"/>
      </rPr>
      <t xml:space="preserve">  여름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겨울</t>
    </r>
  </si>
  <si>
    <r>
      <rPr>
        <sz val="10"/>
        <rFont val="Noto Sans CJK SC"/>
        <family val="2"/>
      </rPr>
      <t xml:space="preserve">시즌 밖에는 카운트를 멈춘다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시즌 시작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쓰기 시작하셨어요</t>
    </r>
    <r>
      <rPr>
        <sz val="10"/>
        <rFont val="Arial"/>
        <family val="0"/>
        <charset val="1"/>
      </rPr>
      <t xml:space="preserve">?' 1</t>
    </r>
    <r>
      <rPr>
        <sz val="10"/>
        <rFont val="Noto Sans CJK SC"/>
        <family val="2"/>
      </rPr>
      <t xml:space="preserve">회 확인</t>
    </r>
  </si>
  <si>
    <r>
      <rPr>
        <sz val="10"/>
        <rFont val="Noto Sans CJK SC"/>
        <family val="2"/>
      </rPr>
      <t xml:space="preserve">○ 표시 품목은 주기 자기교정 대상에서 제외한다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</si>
  <si>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사용자가 늦게 바꾸더라도 권장 주기를 그대로 유지한다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붉은 배경 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</si>
  <si>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○ 표시 품목은 온보딩에서 기본 체크로 제시한다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</si>
  <si>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주기 품목을 반드시 포함시켜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 안에 첫 알림이 도착하게 한다</t>
    </r>
    <r>
      <rPr>
        <sz val="10"/>
        <rFont val="Arial"/>
        <family val="0"/>
        <charset val="1"/>
      </rPr>
      <t xml:space="preserve">.</t>
    </r>
  </si>
  <si>
    <t xml:space="preserve">고칠 때</t>
  </si>
  <si>
    <r>
      <rPr>
        <sz val="10"/>
        <rFont val="Noto Sans CJK SC"/>
        <family val="2"/>
      </rPr>
      <t xml:space="preserve">주기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열만 고치면 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나머지 열은 앱 동작을 바꾸므로 신중히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</si>
  <si>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품목을 추가할 때는 코드를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구역약어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영문명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형식으로 중복 없이 붙인다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</si>
  <si>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</si>
  <si>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</rPr>
      <t xml:space="preserve">여기 적힌 주기는 일반적인 권장값이다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제조사 권장값이 있으면 그것이 우선한다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</si>
  <si>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안전 품목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화재감지기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소화기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임의로 늘리지 말 것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</si>
</sst>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C71"/>
        <bgColor rgb="FF008080"/>
      </patternFill>
    </fill>
    <fill>
      <patternFill patternType="solid">
        <fgColor rgb="FFEAF0F3"/>
        <bgColor rgb="FFFBE9E4"/>
      </patternFill>
    </fill>
    <fill>
      <patternFill patternType="solid">
        <fgColor rgb="FFFBE9E4"/>
        <bgColor rgb="FFEAF0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5C71"/>
          <bgColor rgb="FF000000"/>
        </patternFill>
      </fill>
    </dxf>
    <dxf>
      <fill>
        <patternFill patternType="solid">
          <fgColor rgb="FFEAF0F3"/>
          <bgColor rgb="FF000000"/>
        </patternFill>
      </fill>
    </dxf>
    <dxf>
      <fill>
        <patternFill patternType="solid">
          <fgColor rgb="FFFBE9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C71"/>
      <rgbColor rgb="FFC0C0C0"/>
      <rgbColor rgb="FF808080"/>
      <rgbColor rgb="FF9999FF"/>
      <rgbColor rgb="FF993366"/>
      <rgbColor rgb="FFFBE9E4"/>
      <rgbColor rgb="FFEAF0F3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5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n">
        <v>90</v>
      </c>
      <c r="G2" s="4"/>
      <c r="H2" s="4"/>
      <c r="I2" s="4" t="s">
        <v>17</v>
      </c>
      <c r="J2" s="4"/>
      <c r="K2" s="5" t="s">
        <v>18</v>
      </c>
      <c r="L2" s="6" t="s">
        <v>19</v>
      </c>
    </row>
    <row r="3" customFormat="false" ht="15" hidden="false" customHeight="false" outlineLevel="0" collapsed="false">
      <c r="A3" s="2" t="s">
        <v>20</v>
      </c>
      <c r="B3" s="3" t="s">
        <v>21</v>
      </c>
      <c r="C3" s="4" t="s">
        <v>14</v>
      </c>
      <c r="D3" s="4" t="s">
        <v>15</v>
      </c>
      <c r="E3" s="4" t="s">
        <v>16</v>
      </c>
      <c r="F3" s="5" t="n">
        <v>90</v>
      </c>
      <c r="G3" s="5"/>
      <c r="H3" s="5"/>
      <c r="I3" s="4" t="s">
        <v>17</v>
      </c>
      <c r="J3" s="5"/>
      <c r="K3" s="5"/>
      <c r="L3" s="6" t="s">
        <v>22</v>
      </c>
    </row>
    <row r="4" customFormat="false" ht="15" hidden="false" customHeight="false" outlineLevel="0" collapsed="false">
      <c r="A4" s="2" t="s">
        <v>23</v>
      </c>
      <c r="B4" s="3" t="s">
        <v>24</v>
      </c>
      <c r="C4" s="4" t="s">
        <v>14</v>
      </c>
      <c r="D4" s="4" t="s">
        <v>15</v>
      </c>
      <c r="E4" s="4" t="s">
        <v>16</v>
      </c>
      <c r="F4" s="5" t="n">
        <v>7</v>
      </c>
      <c r="G4" s="5"/>
      <c r="H4" s="5"/>
      <c r="I4" s="4" t="s">
        <v>17</v>
      </c>
      <c r="J4" s="5"/>
      <c r="K4" s="5"/>
      <c r="L4" s="6" t="s">
        <v>25</v>
      </c>
    </row>
    <row r="5" customFormat="false" ht="15" hidden="false" customHeight="false" outlineLevel="0" collapsed="false">
      <c r="A5" s="2" t="s">
        <v>26</v>
      </c>
      <c r="B5" s="3" t="s">
        <v>27</v>
      </c>
      <c r="C5" s="4" t="s">
        <v>14</v>
      </c>
      <c r="D5" s="4" t="s">
        <v>15</v>
      </c>
      <c r="E5" s="4" t="s">
        <v>16</v>
      </c>
      <c r="F5" s="5" t="n">
        <v>90</v>
      </c>
      <c r="G5" s="5"/>
      <c r="H5" s="5"/>
      <c r="I5" s="4" t="s">
        <v>17</v>
      </c>
      <c r="J5" s="5"/>
      <c r="K5" s="5"/>
      <c r="L5" s="6"/>
    </row>
    <row r="6" customFormat="false" ht="15" hidden="false" customHeight="false" outlineLevel="0" collapsed="false">
      <c r="A6" s="2" t="s">
        <v>28</v>
      </c>
      <c r="B6" s="3" t="s">
        <v>29</v>
      </c>
      <c r="C6" s="4" t="s">
        <v>14</v>
      </c>
      <c r="D6" s="4" t="s">
        <v>15</v>
      </c>
      <c r="E6" s="4" t="s">
        <v>16</v>
      </c>
      <c r="F6" s="5" t="n">
        <v>21</v>
      </c>
      <c r="G6" s="5"/>
      <c r="H6" s="5"/>
      <c r="I6" s="4" t="s">
        <v>17</v>
      </c>
      <c r="J6" s="5"/>
      <c r="K6" s="5" t="s">
        <v>18</v>
      </c>
      <c r="L6" s="6" t="s">
        <v>30</v>
      </c>
    </row>
    <row r="7" customFormat="false" ht="15" hidden="false" customHeight="false" outlineLevel="0" collapsed="false">
      <c r="A7" s="2" t="s">
        <v>31</v>
      </c>
      <c r="B7" s="3" t="s">
        <v>32</v>
      </c>
      <c r="C7" s="4" t="s">
        <v>14</v>
      </c>
      <c r="D7" s="4" t="s">
        <v>15</v>
      </c>
      <c r="E7" s="4" t="s">
        <v>16</v>
      </c>
      <c r="F7" s="5" t="n">
        <v>60</v>
      </c>
      <c r="G7" s="5"/>
      <c r="H7" s="5"/>
      <c r="I7" s="4" t="s">
        <v>17</v>
      </c>
      <c r="J7" s="5"/>
      <c r="K7" s="5" t="s">
        <v>18</v>
      </c>
      <c r="L7" s="6" t="s">
        <v>33</v>
      </c>
    </row>
    <row r="8" customFormat="false" ht="15" hidden="false" customHeight="false" outlineLevel="0" collapsed="false">
      <c r="A8" s="2" t="s">
        <v>34</v>
      </c>
      <c r="B8" s="3" t="s">
        <v>35</v>
      </c>
      <c r="C8" s="4" t="s">
        <v>14</v>
      </c>
      <c r="D8" s="4" t="s">
        <v>15</v>
      </c>
      <c r="E8" s="4" t="s">
        <v>16</v>
      </c>
      <c r="F8" s="5" t="n">
        <v>730</v>
      </c>
      <c r="G8" s="5"/>
      <c r="H8" s="5"/>
      <c r="I8" s="4" t="s">
        <v>17</v>
      </c>
      <c r="J8" s="5"/>
      <c r="K8" s="5"/>
      <c r="L8" s="7" t="s">
        <v>36</v>
      </c>
    </row>
    <row r="9" customFormat="false" ht="15" hidden="false" customHeight="false" outlineLevel="0" collapsed="false">
      <c r="A9" s="2" t="s">
        <v>37</v>
      </c>
      <c r="B9" s="3" t="s">
        <v>38</v>
      </c>
      <c r="C9" s="4" t="s">
        <v>14</v>
      </c>
      <c r="D9" s="4" t="s">
        <v>15</v>
      </c>
      <c r="E9" s="4" t="s">
        <v>16</v>
      </c>
      <c r="F9" s="5" t="n">
        <v>14</v>
      </c>
      <c r="G9" s="5"/>
      <c r="H9" s="5"/>
      <c r="I9" s="4" t="s">
        <v>17</v>
      </c>
      <c r="J9" s="5"/>
      <c r="K9" s="5"/>
      <c r="L9" s="6"/>
    </row>
    <row r="10" customFormat="false" ht="15" hidden="false" customHeight="false" outlineLevel="0" collapsed="false">
      <c r="A10" s="2" t="s">
        <v>39</v>
      </c>
      <c r="B10" s="3" t="s">
        <v>40</v>
      </c>
      <c r="C10" s="4" t="s">
        <v>14</v>
      </c>
      <c r="D10" s="4" t="s">
        <v>15</v>
      </c>
      <c r="E10" s="4" t="s">
        <v>16</v>
      </c>
      <c r="F10" s="5" t="n">
        <v>180</v>
      </c>
      <c r="G10" s="5"/>
      <c r="H10" s="5"/>
      <c r="I10" s="4" t="s">
        <v>17</v>
      </c>
      <c r="J10" s="5"/>
      <c r="K10" s="5"/>
      <c r="L10" s="6"/>
    </row>
    <row r="11" customFormat="false" ht="15" hidden="false" customHeight="false" outlineLevel="0" collapsed="false">
      <c r="A11" s="2" t="s">
        <v>41</v>
      </c>
      <c r="B11" s="3" t="s">
        <v>42</v>
      </c>
      <c r="C11" s="4" t="s">
        <v>14</v>
      </c>
      <c r="D11" s="4" t="s">
        <v>15</v>
      </c>
      <c r="E11" s="4" t="s">
        <v>16</v>
      </c>
      <c r="F11" s="5" t="n">
        <v>30</v>
      </c>
      <c r="G11" s="5"/>
      <c r="H11" s="5"/>
      <c r="I11" s="4" t="s">
        <v>17</v>
      </c>
      <c r="J11" s="5"/>
      <c r="K11" s="5"/>
      <c r="L11" s="6"/>
    </row>
    <row r="12" customFormat="false" ht="15" hidden="false" customHeight="false" outlineLevel="0" collapsed="false">
      <c r="A12" s="2" t="s">
        <v>43</v>
      </c>
      <c r="B12" s="3" t="s">
        <v>44</v>
      </c>
      <c r="C12" s="4" t="s">
        <v>14</v>
      </c>
      <c r="D12" s="4" t="s">
        <v>15</v>
      </c>
      <c r="E12" s="4" t="s">
        <v>16</v>
      </c>
      <c r="F12" s="5" t="n">
        <v>180</v>
      </c>
      <c r="G12" s="5"/>
      <c r="H12" s="5"/>
      <c r="I12" s="4" t="s">
        <v>17</v>
      </c>
      <c r="J12" s="5"/>
      <c r="K12" s="5"/>
      <c r="L12" s="6"/>
    </row>
    <row r="13" customFormat="false" ht="15" hidden="false" customHeight="false" outlineLevel="0" collapsed="false">
      <c r="A13" s="2" t="s">
        <v>45</v>
      </c>
      <c r="B13" s="3" t="s">
        <v>46</v>
      </c>
      <c r="C13" s="4" t="s">
        <v>14</v>
      </c>
      <c r="D13" s="4" t="s">
        <v>15</v>
      </c>
      <c r="E13" s="4" t="s">
        <v>16</v>
      </c>
      <c r="F13" s="5" t="n">
        <v>30</v>
      </c>
      <c r="G13" s="5"/>
      <c r="H13" s="5"/>
      <c r="I13" s="4" t="s">
        <v>17</v>
      </c>
      <c r="J13" s="5"/>
      <c r="K13" s="5"/>
      <c r="L13" s="6" t="s">
        <v>47</v>
      </c>
    </row>
    <row r="14" customFormat="false" ht="15" hidden="false" customHeight="false" outlineLevel="0" collapsed="false">
      <c r="A14" s="2" t="s">
        <v>48</v>
      </c>
      <c r="B14" s="3" t="s">
        <v>49</v>
      </c>
      <c r="C14" s="4" t="s">
        <v>14</v>
      </c>
      <c r="D14" s="4" t="s">
        <v>15</v>
      </c>
      <c r="E14" s="4" t="s">
        <v>16</v>
      </c>
      <c r="F14" s="5" t="n">
        <v>30</v>
      </c>
      <c r="G14" s="5"/>
      <c r="H14" s="5"/>
      <c r="I14" s="4" t="s">
        <v>17</v>
      </c>
      <c r="J14" s="5"/>
      <c r="K14" s="5"/>
      <c r="L14" s="6"/>
    </row>
    <row r="15" customFormat="false" ht="15" hidden="false" customHeight="false" outlineLevel="0" collapsed="false">
      <c r="A15" s="2" t="s">
        <v>50</v>
      </c>
      <c r="B15" s="3" t="s">
        <v>51</v>
      </c>
      <c r="C15" s="4" t="s">
        <v>14</v>
      </c>
      <c r="D15" s="4" t="s">
        <v>15</v>
      </c>
      <c r="E15" s="4" t="s">
        <v>16</v>
      </c>
      <c r="F15" s="5" t="n">
        <v>14</v>
      </c>
      <c r="G15" s="5"/>
      <c r="H15" s="5"/>
      <c r="I15" s="4" t="s">
        <v>17</v>
      </c>
      <c r="J15" s="5"/>
      <c r="K15" s="5"/>
      <c r="L15" s="6" t="s">
        <v>52</v>
      </c>
    </row>
    <row r="16" customFormat="false" ht="15" hidden="false" customHeight="false" outlineLevel="0" collapsed="false">
      <c r="A16" s="2" t="s">
        <v>53</v>
      </c>
      <c r="B16" s="3" t="s">
        <v>54</v>
      </c>
      <c r="C16" s="4" t="s">
        <v>14</v>
      </c>
      <c r="D16" s="4" t="s">
        <v>55</v>
      </c>
      <c r="E16" s="4" t="s">
        <v>16</v>
      </c>
      <c r="F16" s="5" t="n">
        <v>365</v>
      </c>
      <c r="G16" s="5"/>
      <c r="H16" s="5"/>
      <c r="I16" s="4" t="s">
        <v>17</v>
      </c>
      <c r="J16" s="5"/>
      <c r="K16" s="5"/>
      <c r="L16" s="6" t="s">
        <v>56</v>
      </c>
    </row>
    <row r="17" customFormat="false" ht="15" hidden="false" customHeight="false" outlineLevel="0" collapsed="false">
      <c r="A17" s="2" t="s">
        <v>57</v>
      </c>
      <c r="B17" s="3" t="s">
        <v>58</v>
      </c>
      <c r="C17" s="4" t="s">
        <v>14</v>
      </c>
      <c r="D17" s="4" t="s">
        <v>55</v>
      </c>
      <c r="E17" s="4" t="s">
        <v>16</v>
      </c>
      <c r="F17" s="5" t="n">
        <v>180</v>
      </c>
      <c r="G17" s="5"/>
      <c r="H17" s="5"/>
      <c r="I17" s="4" t="s">
        <v>17</v>
      </c>
      <c r="J17" s="5"/>
      <c r="K17" s="5"/>
      <c r="L17" s="6"/>
    </row>
    <row r="18" customFormat="false" ht="15" hidden="false" customHeight="false" outlineLevel="0" collapsed="false">
      <c r="A18" s="2" t="s">
        <v>59</v>
      </c>
      <c r="B18" s="3" t="s">
        <v>60</v>
      </c>
      <c r="C18" s="4" t="s">
        <v>14</v>
      </c>
      <c r="D18" s="4" t="s">
        <v>15</v>
      </c>
      <c r="E18" s="4" t="s">
        <v>16</v>
      </c>
      <c r="F18" s="5" t="n">
        <v>30</v>
      </c>
      <c r="G18" s="5"/>
      <c r="H18" s="5"/>
      <c r="I18" s="4" t="s">
        <v>17</v>
      </c>
      <c r="J18" s="5"/>
      <c r="K18" s="5"/>
      <c r="L18" s="6"/>
    </row>
    <row r="19" customFormat="false" ht="15" hidden="false" customHeight="false" outlineLevel="0" collapsed="false">
      <c r="A19" s="2" t="s">
        <v>61</v>
      </c>
      <c r="B19" s="3" t="s">
        <v>62</v>
      </c>
      <c r="C19" s="4" t="s">
        <v>14</v>
      </c>
      <c r="D19" s="4" t="s">
        <v>15</v>
      </c>
      <c r="E19" s="4" t="s">
        <v>16</v>
      </c>
      <c r="F19" s="5" t="n">
        <v>365</v>
      </c>
      <c r="G19" s="5"/>
      <c r="H19" s="5"/>
      <c r="I19" s="4" t="s">
        <v>17</v>
      </c>
      <c r="J19" s="5"/>
      <c r="K19" s="5"/>
      <c r="L19" s="6"/>
    </row>
    <row r="20" customFormat="false" ht="15" hidden="false" customHeight="false" outlineLevel="0" collapsed="false">
      <c r="A20" s="2" t="s">
        <v>63</v>
      </c>
      <c r="B20" s="3" t="s">
        <v>64</v>
      </c>
      <c r="C20" s="4" t="s">
        <v>14</v>
      </c>
      <c r="D20" s="4" t="s">
        <v>15</v>
      </c>
      <c r="E20" s="4" t="s">
        <v>16</v>
      </c>
      <c r="F20" s="5" t="n">
        <v>90</v>
      </c>
      <c r="G20" s="5"/>
      <c r="H20" s="5"/>
      <c r="I20" s="4" t="s">
        <v>17</v>
      </c>
      <c r="J20" s="5"/>
      <c r="K20" s="5"/>
      <c r="L20" s="6"/>
    </row>
    <row r="21" customFormat="false" ht="15" hidden="false" customHeight="false" outlineLevel="0" collapsed="false">
      <c r="A21" s="2" t="s">
        <v>65</v>
      </c>
      <c r="B21" s="3" t="s">
        <v>66</v>
      </c>
      <c r="C21" s="4" t="s">
        <v>14</v>
      </c>
      <c r="D21" s="4" t="s">
        <v>15</v>
      </c>
      <c r="E21" s="4" t="s">
        <v>16</v>
      </c>
      <c r="F21" s="5" t="n">
        <v>90</v>
      </c>
      <c r="G21" s="5"/>
      <c r="H21" s="5"/>
      <c r="I21" s="4" t="s">
        <v>17</v>
      </c>
      <c r="J21" s="5"/>
      <c r="K21" s="5"/>
      <c r="L21" s="6" t="s">
        <v>67</v>
      </c>
    </row>
    <row r="22" customFormat="false" ht="15" hidden="false" customHeight="false" outlineLevel="0" collapsed="false">
      <c r="A22" s="2" t="s">
        <v>68</v>
      </c>
      <c r="B22" s="3" t="s">
        <v>69</v>
      </c>
      <c r="C22" s="4" t="s">
        <v>14</v>
      </c>
      <c r="D22" s="4" t="s">
        <v>15</v>
      </c>
      <c r="E22" s="4" t="s">
        <v>16</v>
      </c>
      <c r="F22" s="5" t="n">
        <v>60</v>
      </c>
      <c r="G22" s="5"/>
      <c r="H22" s="5"/>
      <c r="I22" s="4" t="s">
        <v>17</v>
      </c>
      <c r="J22" s="5"/>
      <c r="K22" s="5"/>
      <c r="L22" s="6"/>
    </row>
    <row r="23" customFormat="false" ht="15" hidden="false" customHeight="false" outlineLevel="0" collapsed="false">
      <c r="A23" s="2" t="s">
        <v>70</v>
      </c>
      <c r="B23" s="3" t="s">
        <v>71</v>
      </c>
      <c r="C23" s="4" t="s">
        <v>14</v>
      </c>
      <c r="D23" s="4" t="s">
        <v>15</v>
      </c>
      <c r="E23" s="4" t="s">
        <v>16</v>
      </c>
      <c r="F23" s="5" t="n">
        <v>90</v>
      </c>
      <c r="G23" s="5"/>
      <c r="H23" s="5"/>
      <c r="I23" s="4" t="s">
        <v>17</v>
      </c>
      <c r="J23" s="5"/>
      <c r="K23" s="5"/>
      <c r="L23" s="6"/>
    </row>
    <row r="24" customFormat="false" ht="15" hidden="false" customHeight="false" outlineLevel="0" collapsed="false">
      <c r="A24" s="2" t="s">
        <v>72</v>
      </c>
      <c r="B24" s="3" t="s">
        <v>73</v>
      </c>
      <c r="C24" s="4" t="s">
        <v>74</v>
      </c>
      <c r="D24" s="4" t="s">
        <v>15</v>
      </c>
      <c r="E24" s="4" t="s">
        <v>16</v>
      </c>
      <c r="F24" s="5" t="n">
        <v>30</v>
      </c>
      <c r="G24" s="5"/>
      <c r="H24" s="5"/>
      <c r="I24" s="4" t="s">
        <v>17</v>
      </c>
      <c r="J24" s="5"/>
      <c r="K24" s="5" t="s">
        <v>18</v>
      </c>
      <c r="L24" s="6" t="s">
        <v>75</v>
      </c>
    </row>
    <row r="25" customFormat="false" ht="15" hidden="false" customHeight="false" outlineLevel="0" collapsed="false">
      <c r="A25" s="2" t="s">
        <v>76</v>
      </c>
      <c r="B25" s="3" t="s">
        <v>77</v>
      </c>
      <c r="C25" s="4" t="s">
        <v>74</v>
      </c>
      <c r="D25" s="4" t="s">
        <v>15</v>
      </c>
      <c r="E25" s="4" t="s">
        <v>16</v>
      </c>
      <c r="F25" s="5" t="n">
        <v>30</v>
      </c>
      <c r="G25" s="5"/>
      <c r="H25" s="5"/>
      <c r="I25" s="4" t="s">
        <v>17</v>
      </c>
      <c r="J25" s="5"/>
      <c r="K25" s="5" t="s">
        <v>18</v>
      </c>
      <c r="L25" s="6" t="s">
        <v>78</v>
      </c>
    </row>
    <row r="26" customFormat="false" ht="15" hidden="false" customHeight="false" outlineLevel="0" collapsed="false">
      <c r="A26" s="2" t="s">
        <v>79</v>
      </c>
      <c r="B26" s="3" t="s">
        <v>80</v>
      </c>
      <c r="C26" s="4" t="s">
        <v>74</v>
      </c>
      <c r="D26" s="4" t="s">
        <v>15</v>
      </c>
      <c r="E26" s="4" t="s">
        <v>16</v>
      </c>
      <c r="F26" s="5" t="n">
        <v>30</v>
      </c>
      <c r="G26" s="5"/>
      <c r="H26" s="5"/>
      <c r="I26" s="4" t="s">
        <v>17</v>
      </c>
      <c r="J26" s="5"/>
      <c r="K26" s="5" t="s">
        <v>18</v>
      </c>
      <c r="L26" s="7" t="s">
        <v>81</v>
      </c>
    </row>
    <row r="27" customFormat="false" ht="15" hidden="false" customHeight="false" outlineLevel="0" collapsed="false">
      <c r="A27" s="2" t="s">
        <v>82</v>
      </c>
      <c r="B27" s="3" t="s">
        <v>83</v>
      </c>
      <c r="C27" s="4" t="s">
        <v>74</v>
      </c>
      <c r="D27" s="4" t="s">
        <v>15</v>
      </c>
      <c r="E27" s="4" t="s">
        <v>16</v>
      </c>
      <c r="F27" s="5" t="n">
        <v>365</v>
      </c>
      <c r="G27" s="5"/>
      <c r="H27" s="5"/>
      <c r="I27" s="4" t="s">
        <v>17</v>
      </c>
      <c r="J27" s="5"/>
      <c r="K27" s="5"/>
      <c r="L27" s="6" t="s">
        <v>84</v>
      </c>
    </row>
    <row r="28" customFormat="false" ht="15" hidden="false" customHeight="false" outlineLevel="0" collapsed="false">
      <c r="A28" s="2" t="s">
        <v>85</v>
      </c>
      <c r="B28" s="3" t="s">
        <v>86</v>
      </c>
      <c r="C28" s="4" t="s">
        <v>74</v>
      </c>
      <c r="D28" s="4" t="s">
        <v>15</v>
      </c>
      <c r="E28" s="4" t="s">
        <v>16</v>
      </c>
      <c r="F28" s="5" t="n">
        <v>365</v>
      </c>
      <c r="G28" s="5"/>
      <c r="H28" s="5"/>
      <c r="I28" s="4" t="s">
        <v>17</v>
      </c>
      <c r="J28" s="5"/>
      <c r="K28" s="5"/>
      <c r="L28" s="6"/>
    </row>
    <row r="29" customFormat="false" ht="15" hidden="false" customHeight="false" outlineLevel="0" collapsed="false">
      <c r="A29" s="2" t="s">
        <v>87</v>
      </c>
      <c r="B29" s="3" t="s">
        <v>88</v>
      </c>
      <c r="C29" s="4" t="s">
        <v>74</v>
      </c>
      <c r="D29" s="4" t="s">
        <v>15</v>
      </c>
      <c r="E29" s="4" t="s">
        <v>16</v>
      </c>
      <c r="F29" s="5" t="n">
        <v>730</v>
      </c>
      <c r="G29" s="5"/>
      <c r="H29" s="5"/>
      <c r="I29" s="4" t="s">
        <v>17</v>
      </c>
      <c r="J29" s="5"/>
      <c r="K29" s="5"/>
      <c r="L29" s="6" t="s">
        <v>89</v>
      </c>
    </row>
    <row r="30" customFormat="false" ht="15" hidden="false" customHeight="false" outlineLevel="0" collapsed="false">
      <c r="A30" s="2" t="s">
        <v>90</v>
      </c>
      <c r="B30" s="3" t="s">
        <v>91</v>
      </c>
      <c r="C30" s="4" t="s">
        <v>74</v>
      </c>
      <c r="D30" s="4" t="s">
        <v>15</v>
      </c>
      <c r="E30" s="4" t="s">
        <v>16</v>
      </c>
      <c r="F30" s="5" t="n">
        <v>90</v>
      </c>
      <c r="G30" s="5"/>
      <c r="H30" s="5"/>
      <c r="I30" s="4" t="s">
        <v>17</v>
      </c>
      <c r="J30" s="5"/>
      <c r="K30" s="5"/>
      <c r="L30" s="6"/>
    </row>
    <row r="31" customFormat="false" ht="15" hidden="false" customHeight="false" outlineLevel="0" collapsed="false">
      <c r="A31" s="2" t="s">
        <v>92</v>
      </c>
      <c r="B31" s="3" t="s">
        <v>93</v>
      </c>
      <c r="C31" s="4" t="s">
        <v>74</v>
      </c>
      <c r="D31" s="4" t="s">
        <v>15</v>
      </c>
      <c r="E31" s="4" t="s">
        <v>16</v>
      </c>
      <c r="F31" s="5" t="n">
        <v>180</v>
      </c>
      <c r="G31" s="5"/>
      <c r="H31" s="5"/>
      <c r="I31" s="4" t="s">
        <v>17</v>
      </c>
      <c r="J31" s="5"/>
      <c r="K31" s="5"/>
      <c r="L31" s="6"/>
    </row>
    <row r="32" customFormat="false" ht="15" hidden="false" customHeight="false" outlineLevel="0" collapsed="false">
      <c r="A32" s="2" t="s">
        <v>94</v>
      </c>
      <c r="B32" s="3" t="s">
        <v>95</v>
      </c>
      <c r="C32" s="4" t="s">
        <v>74</v>
      </c>
      <c r="D32" s="4" t="s">
        <v>15</v>
      </c>
      <c r="E32" s="4" t="s">
        <v>16</v>
      </c>
      <c r="F32" s="5" t="n">
        <v>365</v>
      </c>
      <c r="G32" s="5"/>
      <c r="H32" s="5"/>
      <c r="I32" s="4" t="s">
        <v>17</v>
      </c>
      <c r="J32" s="5"/>
      <c r="K32" s="5"/>
      <c r="L32" s="6"/>
    </row>
    <row r="33" customFormat="false" ht="15" hidden="false" customHeight="false" outlineLevel="0" collapsed="false">
      <c r="A33" s="2" t="s">
        <v>96</v>
      </c>
      <c r="B33" s="3" t="s">
        <v>97</v>
      </c>
      <c r="C33" s="4" t="s">
        <v>74</v>
      </c>
      <c r="D33" s="4" t="s">
        <v>15</v>
      </c>
      <c r="E33" s="4" t="s">
        <v>16</v>
      </c>
      <c r="F33" s="5" t="n">
        <v>90</v>
      </c>
      <c r="G33" s="5"/>
      <c r="H33" s="5"/>
      <c r="I33" s="4" t="s">
        <v>17</v>
      </c>
      <c r="J33" s="5"/>
      <c r="K33" s="5"/>
      <c r="L33" s="6" t="s">
        <v>98</v>
      </c>
    </row>
    <row r="34" customFormat="false" ht="15" hidden="false" customHeight="false" outlineLevel="0" collapsed="false">
      <c r="A34" s="2" t="s">
        <v>99</v>
      </c>
      <c r="B34" s="3" t="s">
        <v>100</v>
      </c>
      <c r="C34" s="4" t="s">
        <v>74</v>
      </c>
      <c r="D34" s="4" t="s">
        <v>15</v>
      </c>
      <c r="E34" s="4" t="s">
        <v>16</v>
      </c>
      <c r="F34" s="5" t="n">
        <v>180</v>
      </c>
      <c r="G34" s="5"/>
      <c r="H34" s="5"/>
      <c r="I34" s="4" t="s">
        <v>17</v>
      </c>
      <c r="J34" s="5"/>
      <c r="K34" s="5"/>
      <c r="L34" s="6"/>
    </row>
    <row r="35" customFormat="false" ht="15" hidden="false" customHeight="false" outlineLevel="0" collapsed="false">
      <c r="A35" s="2" t="s">
        <v>101</v>
      </c>
      <c r="B35" s="3" t="s">
        <v>102</v>
      </c>
      <c r="C35" s="4" t="s">
        <v>74</v>
      </c>
      <c r="D35" s="4" t="s">
        <v>15</v>
      </c>
      <c r="E35" s="4" t="s">
        <v>16</v>
      </c>
      <c r="F35" s="5" t="n">
        <v>180</v>
      </c>
      <c r="G35" s="5"/>
      <c r="H35" s="5"/>
      <c r="I35" s="4" t="s">
        <v>17</v>
      </c>
      <c r="J35" s="5"/>
      <c r="K35" s="5"/>
      <c r="L35" s="6" t="s">
        <v>103</v>
      </c>
    </row>
    <row r="36" customFormat="false" ht="15" hidden="false" customHeight="false" outlineLevel="0" collapsed="false">
      <c r="A36" s="2" t="s">
        <v>104</v>
      </c>
      <c r="B36" s="3" t="s">
        <v>105</v>
      </c>
      <c r="C36" s="4" t="s">
        <v>74</v>
      </c>
      <c r="D36" s="4" t="s">
        <v>15</v>
      </c>
      <c r="E36" s="4" t="s">
        <v>16</v>
      </c>
      <c r="F36" s="5" t="n">
        <v>30</v>
      </c>
      <c r="G36" s="5"/>
      <c r="H36" s="5"/>
      <c r="I36" s="4" t="s">
        <v>17</v>
      </c>
      <c r="J36" s="5"/>
      <c r="K36" s="5"/>
      <c r="L36" s="6"/>
    </row>
    <row r="37" customFormat="false" ht="15" hidden="false" customHeight="false" outlineLevel="0" collapsed="false">
      <c r="A37" s="2" t="s">
        <v>106</v>
      </c>
      <c r="B37" s="3" t="s">
        <v>107</v>
      </c>
      <c r="C37" s="4" t="s">
        <v>74</v>
      </c>
      <c r="D37" s="4" t="s">
        <v>15</v>
      </c>
      <c r="E37" s="4" t="s">
        <v>16</v>
      </c>
      <c r="F37" s="5" t="n">
        <v>7</v>
      </c>
      <c r="G37" s="5"/>
      <c r="H37" s="5"/>
      <c r="I37" s="4" t="s">
        <v>17</v>
      </c>
      <c r="J37" s="5"/>
      <c r="K37" s="5"/>
      <c r="L37" s="6"/>
    </row>
    <row r="38" customFormat="false" ht="15" hidden="false" customHeight="false" outlineLevel="0" collapsed="false">
      <c r="A38" s="2" t="s">
        <v>108</v>
      </c>
      <c r="B38" s="3" t="s">
        <v>109</v>
      </c>
      <c r="C38" s="4" t="s">
        <v>74</v>
      </c>
      <c r="D38" s="4" t="s">
        <v>15</v>
      </c>
      <c r="E38" s="4" t="s">
        <v>16</v>
      </c>
      <c r="F38" s="5" t="n">
        <v>90</v>
      </c>
      <c r="G38" s="5"/>
      <c r="H38" s="5"/>
      <c r="I38" s="4" t="s">
        <v>17</v>
      </c>
      <c r="J38" s="5"/>
      <c r="K38" s="5"/>
      <c r="L38" s="6"/>
    </row>
    <row r="39" customFormat="false" ht="15" hidden="false" customHeight="false" outlineLevel="0" collapsed="false">
      <c r="A39" s="2" t="s">
        <v>110</v>
      </c>
      <c r="B39" s="3" t="s">
        <v>111</v>
      </c>
      <c r="C39" s="4" t="s">
        <v>74</v>
      </c>
      <c r="D39" s="4" t="s">
        <v>15</v>
      </c>
      <c r="E39" s="4" t="s">
        <v>16</v>
      </c>
      <c r="F39" s="5" t="n">
        <v>90</v>
      </c>
      <c r="G39" s="5"/>
      <c r="H39" s="5"/>
      <c r="I39" s="4" t="s">
        <v>17</v>
      </c>
      <c r="J39" s="5"/>
      <c r="K39" s="5"/>
      <c r="L39" s="6"/>
    </row>
    <row r="40" customFormat="false" ht="15" hidden="false" customHeight="false" outlineLevel="0" collapsed="false">
      <c r="A40" s="2" t="s">
        <v>112</v>
      </c>
      <c r="B40" s="3" t="s">
        <v>113</v>
      </c>
      <c r="C40" s="4" t="s">
        <v>74</v>
      </c>
      <c r="D40" s="4" t="s">
        <v>15</v>
      </c>
      <c r="E40" s="4" t="s">
        <v>16</v>
      </c>
      <c r="F40" s="5" t="n">
        <v>90</v>
      </c>
      <c r="G40" s="5"/>
      <c r="H40" s="5"/>
      <c r="I40" s="4" t="s">
        <v>17</v>
      </c>
      <c r="J40" s="5"/>
      <c r="K40" s="5"/>
      <c r="L40" s="6" t="s">
        <v>114</v>
      </c>
    </row>
    <row r="41" customFormat="false" ht="15" hidden="false" customHeight="false" outlineLevel="0" collapsed="false">
      <c r="A41" s="2" t="s">
        <v>115</v>
      </c>
      <c r="B41" s="3" t="s">
        <v>116</v>
      </c>
      <c r="C41" s="4" t="s">
        <v>74</v>
      </c>
      <c r="D41" s="4" t="s">
        <v>15</v>
      </c>
      <c r="E41" s="4" t="s">
        <v>16</v>
      </c>
      <c r="F41" s="5" t="n">
        <v>30</v>
      </c>
      <c r="G41" s="5"/>
      <c r="H41" s="5"/>
      <c r="I41" s="4" t="s">
        <v>17</v>
      </c>
      <c r="J41" s="5"/>
      <c r="K41" s="5"/>
      <c r="L41" s="6"/>
    </row>
    <row r="42" customFormat="false" ht="15" hidden="false" customHeight="false" outlineLevel="0" collapsed="false">
      <c r="A42" s="2" t="s">
        <v>117</v>
      </c>
      <c r="B42" s="3" t="s">
        <v>118</v>
      </c>
      <c r="C42" s="4" t="s">
        <v>74</v>
      </c>
      <c r="D42" s="4" t="s">
        <v>15</v>
      </c>
      <c r="E42" s="4" t="s">
        <v>16</v>
      </c>
      <c r="F42" s="5" t="n">
        <v>30</v>
      </c>
      <c r="G42" s="5"/>
      <c r="H42" s="5"/>
      <c r="I42" s="4" t="s">
        <v>17</v>
      </c>
      <c r="J42" s="5"/>
      <c r="K42" s="5"/>
      <c r="L42" s="6"/>
    </row>
    <row r="43" customFormat="false" ht="15" hidden="false" customHeight="false" outlineLevel="0" collapsed="false">
      <c r="A43" s="2" t="s">
        <v>119</v>
      </c>
      <c r="B43" s="3" t="s">
        <v>120</v>
      </c>
      <c r="C43" s="4" t="s">
        <v>74</v>
      </c>
      <c r="D43" s="4" t="s">
        <v>55</v>
      </c>
      <c r="E43" s="4" t="s">
        <v>16</v>
      </c>
      <c r="F43" s="5" t="n">
        <v>90</v>
      </c>
      <c r="G43" s="5"/>
      <c r="H43" s="5"/>
      <c r="I43" s="4" t="s">
        <v>17</v>
      </c>
      <c r="J43" s="5"/>
      <c r="K43" s="5"/>
      <c r="L43" s="6" t="s">
        <v>121</v>
      </c>
    </row>
    <row r="44" customFormat="false" ht="15" hidden="false" customHeight="false" outlineLevel="0" collapsed="false">
      <c r="A44" s="2" t="s">
        <v>122</v>
      </c>
      <c r="B44" s="3" t="s">
        <v>123</v>
      </c>
      <c r="C44" s="4" t="s">
        <v>74</v>
      </c>
      <c r="D44" s="4" t="s">
        <v>55</v>
      </c>
      <c r="E44" s="4" t="s">
        <v>16</v>
      </c>
      <c r="F44" s="5" t="n">
        <v>60</v>
      </c>
      <c r="G44" s="5"/>
      <c r="H44" s="5"/>
      <c r="I44" s="4" t="s">
        <v>17</v>
      </c>
      <c r="J44" s="5"/>
      <c r="K44" s="5"/>
      <c r="L44" s="6" t="s">
        <v>124</v>
      </c>
    </row>
    <row r="45" customFormat="false" ht="15" hidden="false" customHeight="false" outlineLevel="0" collapsed="false">
      <c r="A45" s="2" t="s">
        <v>125</v>
      </c>
      <c r="B45" s="3" t="s">
        <v>126</v>
      </c>
      <c r="C45" s="4" t="s">
        <v>74</v>
      </c>
      <c r="D45" s="4" t="s">
        <v>55</v>
      </c>
      <c r="E45" s="4" t="s">
        <v>16</v>
      </c>
      <c r="F45" s="5" t="n">
        <v>180</v>
      </c>
      <c r="G45" s="5"/>
      <c r="H45" s="5"/>
      <c r="I45" s="4" t="s">
        <v>17</v>
      </c>
      <c r="J45" s="5"/>
      <c r="K45" s="5"/>
      <c r="L45" s="6"/>
    </row>
    <row r="46" customFormat="false" ht="15" hidden="false" customHeight="false" outlineLevel="0" collapsed="false">
      <c r="A46" s="2" t="s">
        <v>127</v>
      </c>
      <c r="B46" s="3" t="s">
        <v>128</v>
      </c>
      <c r="C46" s="4" t="s">
        <v>74</v>
      </c>
      <c r="D46" s="4" t="s">
        <v>55</v>
      </c>
      <c r="E46" s="4" t="s">
        <v>16</v>
      </c>
      <c r="F46" s="5" t="n">
        <v>180</v>
      </c>
      <c r="G46" s="5"/>
      <c r="H46" s="5"/>
      <c r="I46" s="4" t="s">
        <v>17</v>
      </c>
      <c r="J46" s="5"/>
      <c r="K46" s="5"/>
      <c r="L46" s="6"/>
    </row>
    <row r="47" customFormat="false" ht="15" hidden="false" customHeight="false" outlineLevel="0" collapsed="false">
      <c r="A47" s="2" t="s">
        <v>129</v>
      </c>
      <c r="B47" s="3" t="s">
        <v>130</v>
      </c>
      <c r="C47" s="4" t="s">
        <v>74</v>
      </c>
      <c r="D47" s="4" t="s">
        <v>55</v>
      </c>
      <c r="E47" s="4" t="s">
        <v>16</v>
      </c>
      <c r="F47" s="5" t="n">
        <v>60</v>
      </c>
      <c r="G47" s="5"/>
      <c r="H47" s="5"/>
      <c r="I47" s="4" t="s">
        <v>17</v>
      </c>
      <c r="J47" s="5"/>
      <c r="K47" s="5"/>
      <c r="L47" s="6" t="s">
        <v>131</v>
      </c>
    </row>
    <row r="48" customFormat="false" ht="15" hidden="false" customHeight="false" outlineLevel="0" collapsed="false">
      <c r="A48" s="2" t="s">
        <v>132</v>
      </c>
      <c r="B48" s="3" t="s">
        <v>133</v>
      </c>
      <c r="C48" s="4" t="s">
        <v>74</v>
      </c>
      <c r="D48" s="4" t="s">
        <v>55</v>
      </c>
      <c r="E48" s="4" t="s">
        <v>16</v>
      </c>
      <c r="F48" s="5" t="n">
        <v>365</v>
      </c>
      <c r="G48" s="5"/>
      <c r="H48" s="5"/>
      <c r="I48" s="4" t="s">
        <v>17</v>
      </c>
      <c r="J48" s="5"/>
      <c r="K48" s="5"/>
      <c r="L48" s="6"/>
    </row>
    <row r="49" customFormat="false" ht="15" hidden="false" customHeight="false" outlineLevel="0" collapsed="false">
      <c r="A49" s="2" t="s">
        <v>134</v>
      </c>
      <c r="B49" s="3" t="s">
        <v>135</v>
      </c>
      <c r="C49" s="4" t="s">
        <v>74</v>
      </c>
      <c r="D49" s="4" t="s">
        <v>15</v>
      </c>
      <c r="E49" s="4" t="s">
        <v>16</v>
      </c>
      <c r="F49" s="5" t="n">
        <v>90</v>
      </c>
      <c r="G49" s="5"/>
      <c r="H49" s="5"/>
      <c r="I49" s="4" t="s">
        <v>17</v>
      </c>
      <c r="J49" s="5"/>
      <c r="K49" s="5"/>
      <c r="L49" s="6"/>
    </row>
    <row r="50" customFormat="false" ht="15" hidden="false" customHeight="false" outlineLevel="0" collapsed="false">
      <c r="A50" s="2" t="s">
        <v>136</v>
      </c>
      <c r="B50" s="3" t="s">
        <v>137</v>
      </c>
      <c r="C50" s="4" t="s">
        <v>74</v>
      </c>
      <c r="D50" s="4" t="s">
        <v>15</v>
      </c>
      <c r="E50" s="4" t="s">
        <v>16</v>
      </c>
      <c r="F50" s="5" t="n">
        <v>14</v>
      </c>
      <c r="G50" s="5"/>
      <c r="H50" s="5"/>
      <c r="I50" s="4" t="s">
        <v>17</v>
      </c>
      <c r="J50" s="5"/>
      <c r="K50" s="5"/>
      <c r="L50" s="6" t="s">
        <v>138</v>
      </c>
    </row>
    <row r="51" customFormat="false" ht="15" hidden="false" customHeight="false" outlineLevel="0" collapsed="false">
      <c r="A51" s="2" t="s">
        <v>139</v>
      </c>
      <c r="B51" s="3" t="s">
        <v>140</v>
      </c>
      <c r="C51" s="4" t="s">
        <v>74</v>
      </c>
      <c r="D51" s="4" t="s">
        <v>15</v>
      </c>
      <c r="E51" s="4" t="s">
        <v>16</v>
      </c>
      <c r="F51" s="5" t="n">
        <v>30</v>
      </c>
      <c r="G51" s="5"/>
      <c r="H51" s="5"/>
      <c r="I51" s="4" t="s">
        <v>17</v>
      </c>
      <c r="J51" s="5"/>
      <c r="K51" s="5"/>
      <c r="L51" s="6"/>
    </row>
    <row r="52" customFormat="false" ht="15" hidden="false" customHeight="false" outlineLevel="0" collapsed="false">
      <c r="A52" s="2" t="s">
        <v>141</v>
      </c>
      <c r="B52" s="3" t="s">
        <v>142</v>
      </c>
      <c r="C52" s="4" t="s">
        <v>74</v>
      </c>
      <c r="D52" s="4" t="s">
        <v>15</v>
      </c>
      <c r="E52" s="4" t="s">
        <v>16</v>
      </c>
      <c r="F52" s="5" t="n">
        <v>14</v>
      </c>
      <c r="G52" s="5"/>
      <c r="H52" s="5"/>
      <c r="I52" s="4" t="s">
        <v>17</v>
      </c>
      <c r="J52" s="5"/>
      <c r="K52" s="5"/>
      <c r="L52" s="6"/>
    </row>
    <row r="53" customFormat="false" ht="15" hidden="false" customHeight="false" outlineLevel="0" collapsed="false">
      <c r="A53" s="2" t="s">
        <v>143</v>
      </c>
      <c r="B53" s="3" t="s">
        <v>144</v>
      </c>
      <c r="C53" s="4" t="s">
        <v>74</v>
      </c>
      <c r="D53" s="4" t="s">
        <v>15</v>
      </c>
      <c r="E53" s="4" t="s">
        <v>16</v>
      </c>
      <c r="F53" s="5" t="n">
        <v>365</v>
      </c>
      <c r="G53" s="5"/>
      <c r="H53" s="5"/>
      <c r="I53" s="4" t="s">
        <v>17</v>
      </c>
      <c r="J53" s="5"/>
      <c r="K53" s="5"/>
      <c r="L53" s="6"/>
    </row>
    <row r="54" customFormat="false" ht="15" hidden="false" customHeight="false" outlineLevel="0" collapsed="false">
      <c r="A54" s="2" t="s">
        <v>145</v>
      </c>
      <c r="B54" s="3" t="s">
        <v>146</v>
      </c>
      <c r="C54" s="4" t="s">
        <v>147</v>
      </c>
      <c r="D54" s="4" t="s">
        <v>15</v>
      </c>
      <c r="E54" s="4" t="s">
        <v>16</v>
      </c>
      <c r="F54" s="5" t="n">
        <v>14</v>
      </c>
      <c r="G54" s="5"/>
      <c r="H54" s="5"/>
      <c r="I54" s="4" t="s">
        <v>17</v>
      </c>
      <c r="J54" s="5"/>
      <c r="K54" s="5" t="s">
        <v>18</v>
      </c>
      <c r="L54" s="7" t="s">
        <v>148</v>
      </c>
    </row>
    <row r="55" customFormat="false" ht="15" hidden="false" customHeight="false" outlineLevel="0" collapsed="false">
      <c r="A55" s="2" t="s">
        <v>149</v>
      </c>
      <c r="B55" s="3" t="s">
        <v>150</v>
      </c>
      <c r="C55" s="4" t="s">
        <v>147</v>
      </c>
      <c r="D55" s="4" t="s">
        <v>15</v>
      </c>
      <c r="E55" s="4" t="s">
        <v>16</v>
      </c>
      <c r="F55" s="5" t="n">
        <v>540</v>
      </c>
      <c r="G55" s="5"/>
      <c r="H55" s="5"/>
      <c r="I55" s="4" t="s">
        <v>17</v>
      </c>
      <c r="J55" s="5"/>
      <c r="K55" s="5"/>
      <c r="L55" s="7" t="s">
        <v>151</v>
      </c>
    </row>
    <row r="56" customFormat="false" ht="15" hidden="false" customHeight="false" outlineLevel="0" collapsed="false">
      <c r="A56" s="2" t="s">
        <v>152</v>
      </c>
      <c r="B56" s="3" t="s">
        <v>153</v>
      </c>
      <c r="C56" s="4" t="s">
        <v>147</v>
      </c>
      <c r="D56" s="4" t="s">
        <v>15</v>
      </c>
      <c r="E56" s="4" t="s">
        <v>16</v>
      </c>
      <c r="F56" s="5" t="n">
        <v>90</v>
      </c>
      <c r="G56" s="5"/>
      <c r="H56" s="5"/>
      <c r="I56" s="4" t="s">
        <v>17</v>
      </c>
      <c r="J56" s="5"/>
      <c r="K56" s="5"/>
      <c r="L56" s="6"/>
    </row>
    <row r="57" customFormat="false" ht="15" hidden="false" customHeight="false" outlineLevel="0" collapsed="false">
      <c r="A57" s="2" t="s">
        <v>154</v>
      </c>
      <c r="B57" s="3" t="s">
        <v>155</v>
      </c>
      <c r="C57" s="4" t="s">
        <v>147</v>
      </c>
      <c r="D57" s="4" t="s">
        <v>15</v>
      </c>
      <c r="E57" s="4" t="s">
        <v>16</v>
      </c>
      <c r="F57" s="5" t="n">
        <v>7</v>
      </c>
      <c r="G57" s="5"/>
      <c r="H57" s="5"/>
      <c r="I57" s="4" t="s">
        <v>17</v>
      </c>
      <c r="J57" s="5"/>
      <c r="K57" s="5" t="s">
        <v>18</v>
      </c>
      <c r="L57" s="6" t="s">
        <v>156</v>
      </c>
    </row>
    <row r="58" customFormat="false" ht="15" hidden="false" customHeight="false" outlineLevel="0" collapsed="false">
      <c r="A58" s="2" t="s">
        <v>157</v>
      </c>
      <c r="B58" s="3" t="s">
        <v>158</v>
      </c>
      <c r="C58" s="4" t="s">
        <v>147</v>
      </c>
      <c r="D58" s="4" t="s">
        <v>15</v>
      </c>
      <c r="E58" s="4" t="s">
        <v>16</v>
      </c>
      <c r="F58" s="5" t="n">
        <v>90</v>
      </c>
      <c r="G58" s="5"/>
      <c r="H58" s="5"/>
      <c r="I58" s="4" t="s">
        <v>17</v>
      </c>
      <c r="J58" s="5"/>
      <c r="K58" s="5"/>
      <c r="L58" s="6"/>
    </row>
    <row r="59" customFormat="false" ht="15" hidden="false" customHeight="false" outlineLevel="0" collapsed="false">
      <c r="A59" s="2" t="s">
        <v>159</v>
      </c>
      <c r="B59" s="3" t="s">
        <v>160</v>
      </c>
      <c r="C59" s="4" t="s">
        <v>147</v>
      </c>
      <c r="D59" s="4" t="s">
        <v>15</v>
      </c>
      <c r="E59" s="4" t="s">
        <v>16</v>
      </c>
      <c r="F59" s="5" t="n">
        <v>2920</v>
      </c>
      <c r="G59" s="5"/>
      <c r="H59" s="5"/>
      <c r="I59" s="4" t="s">
        <v>17</v>
      </c>
      <c r="J59" s="5"/>
      <c r="K59" s="5"/>
      <c r="L59" s="6" t="s">
        <v>161</v>
      </c>
    </row>
    <row r="60" customFormat="false" ht="15" hidden="false" customHeight="false" outlineLevel="0" collapsed="false">
      <c r="A60" s="2" t="s">
        <v>162</v>
      </c>
      <c r="B60" s="3" t="s">
        <v>163</v>
      </c>
      <c r="C60" s="4" t="s">
        <v>147</v>
      </c>
      <c r="D60" s="4" t="s">
        <v>15</v>
      </c>
      <c r="E60" s="4" t="s">
        <v>16</v>
      </c>
      <c r="F60" s="5" t="n">
        <v>30</v>
      </c>
      <c r="G60" s="5"/>
      <c r="H60" s="5"/>
      <c r="I60" s="4" t="s">
        <v>17</v>
      </c>
      <c r="J60" s="5"/>
      <c r="K60" s="5"/>
      <c r="L60" s="6"/>
    </row>
    <row r="61" customFormat="false" ht="15" hidden="false" customHeight="false" outlineLevel="0" collapsed="false">
      <c r="A61" s="2" t="s">
        <v>164</v>
      </c>
      <c r="B61" s="3" t="s">
        <v>165</v>
      </c>
      <c r="C61" s="4" t="s">
        <v>147</v>
      </c>
      <c r="D61" s="4" t="s">
        <v>15</v>
      </c>
      <c r="E61" s="4" t="s">
        <v>16</v>
      </c>
      <c r="F61" s="5" t="n">
        <v>90</v>
      </c>
      <c r="G61" s="5"/>
      <c r="H61" s="5"/>
      <c r="I61" s="4" t="s">
        <v>17</v>
      </c>
      <c r="J61" s="5"/>
      <c r="K61" s="5"/>
      <c r="L61" s="6" t="s">
        <v>166</v>
      </c>
    </row>
    <row r="62" customFormat="false" ht="15" hidden="false" customHeight="false" outlineLevel="0" collapsed="false">
      <c r="A62" s="2" t="s">
        <v>167</v>
      </c>
      <c r="B62" s="3" t="s">
        <v>168</v>
      </c>
      <c r="C62" s="4" t="s">
        <v>147</v>
      </c>
      <c r="D62" s="4" t="s">
        <v>15</v>
      </c>
      <c r="E62" s="4" t="s">
        <v>16</v>
      </c>
      <c r="F62" s="5" t="n">
        <v>60</v>
      </c>
      <c r="G62" s="5"/>
      <c r="H62" s="5"/>
      <c r="I62" s="4" t="s">
        <v>17</v>
      </c>
      <c r="J62" s="5"/>
      <c r="K62" s="5"/>
      <c r="L62" s="6"/>
    </row>
    <row r="63" customFormat="false" ht="15" hidden="false" customHeight="false" outlineLevel="0" collapsed="false">
      <c r="A63" s="2" t="s">
        <v>169</v>
      </c>
      <c r="B63" s="3" t="s">
        <v>170</v>
      </c>
      <c r="C63" s="4" t="s">
        <v>147</v>
      </c>
      <c r="D63" s="4" t="s">
        <v>15</v>
      </c>
      <c r="E63" s="4" t="s">
        <v>16</v>
      </c>
      <c r="F63" s="5" t="n">
        <v>7</v>
      </c>
      <c r="G63" s="5"/>
      <c r="H63" s="5"/>
      <c r="I63" s="4" t="s">
        <v>17</v>
      </c>
      <c r="J63" s="5"/>
      <c r="K63" s="5"/>
      <c r="L63" s="6"/>
    </row>
    <row r="64" customFormat="false" ht="15" hidden="false" customHeight="false" outlineLevel="0" collapsed="false">
      <c r="A64" s="2" t="s">
        <v>171</v>
      </c>
      <c r="B64" s="3" t="s">
        <v>172</v>
      </c>
      <c r="C64" s="4" t="s">
        <v>147</v>
      </c>
      <c r="D64" s="4" t="s">
        <v>15</v>
      </c>
      <c r="E64" s="4" t="s">
        <v>16</v>
      </c>
      <c r="F64" s="5" t="n">
        <v>14</v>
      </c>
      <c r="G64" s="5"/>
      <c r="H64" s="5"/>
      <c r="I64" s="4" t="s">
        <v>17</v>
      </c>
      <c r="J64" s="5"/>
      <c r="K64" s="5"/>
      <c r="L64" s="6"/>
    </row>
    <row r="65" customFormat="false" ht="15" hidden="false" customHeight="false" outlineLevel="0" collapsed="false">
      <c r="A65" s="2" t="s">
        <v>173</v>
      </c>
      <c r="B65" s="3" t="s">
        <v>174</v>
      </c>
      <c r="C65" s="4" t="s">
        <v>147</v>
      </c>
      <c r="D65" s="4" t="s">
        <v>15</v>
      </c>
      <c r="E65" s="4" t="s">
        <v>16</v>
      </c>
      <c r="F65" s="5" t="n">
        <v>180</v>
      </c>
      <c r="G65" s="5"/>
      <c r="H65" s="5"/>
      <c r="I65" s="4" t="s">
        <v>17</v>
      </c>
      <c r="J65" s="5"/>
      <c r="K65" s="5"/>
      <c r="L65" s="6"/>
    </row>
    <row r="66" customFormat="false" ht="15" hidden="false" customHeight="false" outlineLevel="0" collapsed="false">
      <c r="A66" s="2" t="s">
        <v>175</v>
      </c>
      <c r="B66" s="3" t="s">
        <v>176</v>
      </c>
      <c r="C66" s="4" t="s">
        <v>147</v>
      </c>
      <c r="D66" s="4" t="s">
        <v>15</v>
      </c>
      <c r="E66" s="4" t="s">
        <v>16</v>
      </c>
      <c r="F66" s="5" t="n">
        <v>180</v>
      </c>
      <c r="G66" s="5"/>
      <c r="H66" s="5"/>
      <c r="I66" s="4" t="s">
        <v>17</v>
      </c>
      <c r="J66" s="5"/>
      <c r="K66" s="5"/>
      <c r="L66" s="6"/>
    </row>
    <row r="67" customFormat="false" ht="15" hidden="false" customHeight="false" outlineLevel="0" collapsed="false">
      <c r="A67" s="8" t="s">
        <v>177</v>
      </c>
      <c r="B67" s="9" t="s">
        <v>178</v>
      </c>
      <c r="C67" s="10" t="s">
        <v>147</v>
      </c>
      <c r="D67" s="10" t="s">
        <v>15</v>
      </c>
      <c r="E67" s="10" t="s">
        <v>16</v>
      </c>
      <c r="F67" s="10" t="n">
        <v>365</v>
      </c>
      <c r="G67" s="10"/>
      <c r="H67" s="10"/>
      <c r="I67" s="10" t="s">
        <v>179</v>
      </c>
      <c r="J67" s="10"/>
      <c r="K67" s="10"/>
      <c r="L67" s="11" t="s">
        <v>180</v>
      </c>
    </row>
    <row r="68" customFormat="false" ht="15" hidden="false" customHeight="false" outlineLevel="0" collapsed="false">
      <c r="A68" s="8" t="s">
        <v>181</v>
      </c>
      <c r="B68" s="9" t="s">
        <v>182</v>
      </c>
      <c r="C68" s="10" t="s">
        <v>147</v>
      </c>
      <c r="D68" s="10" t="s">
        <v>15</v>
      </c>
      <c r="E68" s="10" t="s">
        <v>16</v>
      </c>
      <c r="F68" s="10" t="n">
        <v>7</v>
      </c>
      <c r="G68" s="10"/>
      <c r="H68" s="10"/>
      <c r="I68" s="10" t="s">
        <v>179</v>
      </c>
      <c r="J68" s="10"/>
      <c r="K68" s="10"/>
      <c r="L68" s="11" t="s">
        <v>183</v>
      </c>
    </row>
    <row r="69" customFormat="false" ht="15" hidden="false" customHeight="false" outlineLevel="0" collapsed="false">
      <c r="A69" s="2" t="s">
        <v>184</v>
      </c>
      <c r="B69" s="3" t="s">
        <v>185</v>
      </c>
      <c r="C69" s="4" t="s">
        <v>147</v>
      </c>
      <c r="D69" s="4" t="s">
        <v>15</v>
      </c>
      <c r="E69" s="4" t="s">
        <v>16</v>
      </c>
      <c r="F69" s="5" t="n">
        <v>30</v>
      </c>
      <c r="G69" s="5"/>
      <c r="H69" s="5"/>
      <c r="I69" s="4" t="s">
        <v>17</v>
      </c>
      <c r="J69" s="5"/>
      <c r="K69" s="5"/>
      <c r="L69" s="6"/>
    </row>
    <row r="70" customFormat="false" ht="15" hidden="false" customHeight="false" outlineLevel="0" collapsed="false">
      <c r="A70" s="2" t="s">
        <v>186</v>
      </c>
      <c r="B70" s="3" t="s">
        <v>187</v>
      </c>
      <c r="C70" s="4" t="s">
        <v>188</v>
      </c>
      <c r="D70" s="4" t="s">
        <v>15</v>
      </c>
      <c r="E70" s="4" t="s">
        <v>16</v>
      </c>
      <c r="F70" s="5" t="n">
        <v>30</v>
      </c>
      <c r="G70" s="5"/>
      <c r="H70" s="5"/>
      <c r="I70" s="4" t="s">
        <v>17</v>
      </c>
      <c r="J70" s="5"/>
      <c r="K70" s="5"/>
      <c r="L70" s="6" t="s">
        <v>189</v>
      </c>
    </row>
    <row r="71" customFormat="false" ht="15" hidden="false" customHeight="false" outlineLevel="0" collapsed="false">
      <c r="A71" s="2" t="s">
        <v>190</v>
      </c>
      <c r="B71" s="3" t="s">
        <v>191</v>
      </c>
      <c r="C71" s="4" t="s">
        <v>188</v>
      </c>
      <c r="D71" s="4" t="s">
        <v>15</v>
      </c>
      <c r="E71" s="4" t="s">
        <v>16</v>
      </c>
      <c r="F71" s="5" t="n">
        <v>30</v>
      </c>
      <c r="G71" s="5"/>
      <c r="H71" s="5"/>
      <c r="I71" s="4" t="s">
        <v>17</v>
      </c>
      <c r="J71" s="5"/>
      <c r="K71" s="5"/>
      <c r="L71" s="6" t="s">
        <v>192</v>
      </c>
    </row>
    <row r="72" customFormat="false" ht="15" hidden="false" customHeight="false" outlineLevel="0" collapsed="false">
      <c r="A72" s="2" t="s">
        <v>193</v>
      </c>
      <c r="B72" s="3" t="s">
        <v>194</v>
      </c>
      <c r="C72" s="4" t="s">
        <v>188</v>
      </c>
      <c r="D72" s="4" t="s">
        <v>15</v>
      </c>
      <c r="E72" s="4" t="s">
        <v>16</v>
      </c>
      <c r="F72" s="5" t="n">
        <v>1095</v>
      </c>
      <c r="G72" s="5"/>
      <c r="H72" s="5"/>
      <c r="I72" s="4" t="s">
        <v>17</v>
      </c>
      <c r="J72" s="5"/>
      <c r="K72" s="5"/>
      <c r="L72" s="6" t="s">
        <v>195</v>
      </c>
    </row>
    <row r="73" customFormat="false" ht="15" hidden="false" customHeight="false" outlineLevel="0" collapsed="false">
      <c r="A73" s="2" t="s">
        <v>196</v>
      </c>
      <c r="B73" s="3" t="s">
        <v>197</v>
      </c>
      <c r="C73" s="4" t="s">
        <v>188</v>
      </c>
      <c r="D73" s="4" t="s">
        <v>15</v>
      </c>
      <c r="E73" s="4" t="s">
        <v>16</v>
      </c>
      <c r="F73" s="5" t="n">
        <v>90</v>
      </c>
      <c r="G73" s="5"/>
      <c r="H73" s="5"/>
      <c r="I73" s="4" t="s">
        <v>17</v>
      </c>
      <c r="J73" s="5"/>
      <c r="K73" s="5"/>
      <c r="L73" s="6"/>
    </row>
    <row r="74" customFormat="false" ht="15" hidden="false" customHeight="false" outlineLevel="0" collapsed="false">
      <c r="A74" s="2" t="s">
        <v>198</v>
      </c>
      <c r="B74" s="3" t="s">
        <v>199</v>
      </c>
      <c r="C74" s="4" t="s">
        <v>188</v>
      </c>
      <c r="D74" s="4" t="s">
        <v>15</v>
      </c>
      <c r="E74" s="4" t="s">
        <v>16</v>
      </c>
      <c r="F74" s="5" t="n">
        <v>30</v>
      </c>
      <c r="G74" s="5"/>
      <c r="H74" s="5"/>
      <c r="I74" s="4" t="s">
        <v>17</v>
      </c>
      <c r="J74" s="5"/>
      <c r="K74" s="5"/>
      <c r="L74" s="6"/>
    </row>
    <row r="75" customFormat="false" ht="15" hidden="false" customHeight="false" outlineLevel="0" collapsed="false">
      <c r="A75" s="2" t="s">
        <v>200</v>
      </c>
      <c r="B75" s="3" t="s">
        <v>201</v>
      </c>
      <c r="C75" s="4" t="s">
        <v>188</v>
      </c>
      <c r="D75" s="4" t="s">
        <v>15</v>
      </c>
      <c r="E75" s="4" t="s">
        <v>16</v>
      </c>
      <c r="F75" s="5" t="n">
        <v>180</v>
      </c>
      <c r="G75" s="5"/>
      <c r="H75" s="5"/>
      <c r="I75" s="4" t="s">
        <v>17</v>
      </c>
      <c r="J75" s="5"/>
      <c r="K75" s="5"/>
      <c r="L75" s="6"/>
    </row>
    <row r="76" customFormat="false" ht="15" hidden="false" customHeight="false" outlineLevel="0" collapsed="false">
      <c r="A76" s="2" t="s">
        <v>202</v>
      </c>
      <c r="B76" s="3" t="s">
        <v>203</v>
      </c>
      <c r="C76" s="4" t="s">
        <v>188</v>
      </c>
      <c r="D76" s="4" t="s">
        <v>15</v>
      </c>
      <c r="E76" s="4" t="s">
        <v>16</v>
      </c>
      <c r="F76" s="5" t="n">
        <v>30</v>
      </c>
      <c r="G76" s="5"/>
      <c r="H76" s="5"/>
      <c r="I76" s="4" t="s">
        <v>17</v>
      </c>
      <c r="J76" s="5"/>
      <c r="K76" s="5"/>
      <c r="L76" s="6"/>
    </row>
    <row r="77" customFormat="false" ht="15" hidden="false" customHeight="false" outlineLevel="0" collapsed="false">
      <c r="A77" s="2" t="s">
        <v>204</v>
      </c>
      <c r="B77" s="3" t="s">
        <v>205</v>
      </c>
      <c r="C77" s="4" t="s">
        <v>188</v>
      </c>
      <c r="D77" s="4" t="s">
        <v>15</v>
      </c>
      <c r="E77" s="4" t="s">
        <v>16</v>
      </c>
      <c r="F77" s="5" t="n">
        <v>90</v>
      </c>
      <c r="G77" s="5"/>
      <c r="H77" s="5"/>
      <c r="I77" s="4" t="s">
        <v>17</v>
      </c>
      <c r="J77" s="5"/>
      <c r="K77" s="5"/>
      <c r="L77" s="6"/>
    </row>
    <row r="78" customFormat="false" ht="15" hidden="false" customHeight="false" outlineLevel="0" collapsed="false">
      <c r="A78" s="2" t="s">
        <v>206</v>
      </c>
      <c r="B78" s="3" t="s">
        <v>207</v>
      </c>
      <c r="C78" s="4" t="s">
        <v>188</v>
      </c>
      <c r="D78" s="4" t="s">
        <v>15</v>
      </c>
      <c r="E78" s="4" t="s">
        <v>16</v>
      </c>
      <c r="F78" s="5" t="n">
        <v>60</v>
      </c>
      <c r="G78" s="5"/>
      <c r="H78" s="5"/>
      <c r="I78" s="4" t="s">
        <v>17</v>
      </c>
      <c r="J78" s="5"/>
      <c r="K78" s="5"/>
      <c r="L78" s="6"/>
    </row>
    <row r="79" customFormat="false" ht="15" hidden="false" customHeight="false" outlineLevel="0" collapsed="false">
      <c r="A79" s="2" t="s">
        <v>208</v>
      </c>
      <c r="B79" s="3" t="s">
        <v>209</v>
      </c>
      <c r="C79" s="4" t="s">
        <v>188</v>
      </c>
      <c r="D79" s="4" t="s">
        <v>15</v>
      </c>
      <c r="E79" s="4" t="s">
        <v>16</v>
      </c>
      <c r="F79" s="5" t="n">
        <v>90</v>
      </c>
      <c r="G79" s="5"/>
      <c r="H79" s="5"/>
      <c r="I79" s="4" t="s">
        <v>17</v>
      </c>
      <c r="J79" s="5"/>
      <c r="K79" s="5"/>
      <c r="L79" s="6"/>
    </row>
    <row r="80" customFormat="false" ht="15" hidden="false" customHeight="false" outlineLevel="0" collapsed="false">
      <c r="A80" s="2" t="s">
        <v>210</v>
      </c>
      <c r="B80" s="3" t="s">
        <v>211</v>
      </c>
      <c r="C80" s="4" t="s">
        <v>188</v>
      </c>
      <c r="D80" s="4" t="s">
        <v>15</v>
      </c>
      <c r="E80" s="4" t="s">
        <v>16</v>
      </c>
      <c r="F80" s="5" t="n">
        <v>180</v>
      </c>
      <c r="G80" s="5"/>
      <c r="H80" s="5"/>
      <c r="I80" s="4" t="s">
        <v>17</v>
      </c>
      <c r="J80" s="5"/>
      <c r="K80" s="5"/>
      <c r="L80" s="6"/>
    </row>
    <row r="81" customFormat="false" ht="15" hidden="false" customHeight="false" outlineLevel="0" collapsed="false">
      <c r="A81" s="2" t="s">
        <v>212</v>
      </c>
      <c r="B81" s="3" t="s">
        <v>213</v>
      </c>
      <c r="C81" s="4" t="s">
        <v>188</v>
      </c>
      <c r="D81" s="4" t="s">
        <v>15</v>
      </c>
      <c r="E81" s="4" t="s">
        <v>16</v>
      </c>
      <c r="F81" s="5" t="n">
        <v>90</v>
      </c>
      <c r="G81" s="5"/>
      <c r="H81" s="5"/>
      <c r="I81" s="4" t="s">
        <v>17</v>
      </c>
      <c r="J81" s="5"/>
      <c r="K81" s="5"/>
      <c r="L81" s="6"/>
    </row>
    <row r="82" customFormat="false" ht="15" hidden="false" customHeight="false" outlineLevel="0" collapsed="false">
      <c r="A82" s="2" t="s">
        <v>214</v>
      </c>
      <c r="B82" s="3" t="s">
        <v>215</v>
      </c>
      <c r="C82" s="4" t="s">
        <v>188</v>
      </c>
      <c r="D82" s="4" t="s">
        <v>15</v>
      </c>
      <c r="E82" s="4" t="s">
        <v>16</v>
      </c>
      <c r="F82" s="5" t="n">
        <v>365</v>
      </c>
      <c r="G82" s="5"/>
      <c r="H82" s="5"/>
      <c r="I82" s="4" t="s">
        <v>17</v>
      </c>
      <c r="J82" s="5"/>
      <c r="K82" s="5"/>
      <c r="L82" s="6"/>
    </row>
    <row r="83" customFormat="false" ht="15" hidden="false" customHeight="false" outlineLevel="0" collapsed="false">
      <c r="A83" s="2" t="s">
        <v>216</v>
      </c>
      <c r="B83" s="3" t="s">
        <v>217</v>
      </c>
      <c r="C83" s="4" t="s">
        <v>188</v>
      </c>
      <c r="D83" s="4" t="s">
        <v>15</v>
      </c>
      <c r="E83" s="4" t="s">
        <v>16</v>
      </c>
      <c r="F83" s="5" t="n">
        <v>365</v>
      </c>
      <c r="G83" s="5"/>
      <c r="H83" s="5"/>
      <c r="I83" s="4" t="s">
        <v>17</v>
      </c>
      <c r="J83" s="5"/>
      <c r="K83" s="5"/>
      <c r="L83" s="6"/>
    </row>
    <row r="84" customFormat="false" ht="15" hidden="false" customHeight="false" outlineLevel="0" collapsed="false">
      <c r="A84" s="2" t="s">
        <v>218</v>
      </c>
      <c r="B84" s="3" t="s">
        <v>219</v>
      </c>
      <c r="C84" s="4" t="s">
        <v>188</v>
      </c>
      <c r="D84" s="4" t="s">
        <v>15</v>
      </c>
      <c r="E84" s="4" t="s">
        <v>16</v>
      </c>
      <c r="F84" s="5" t="n">
        <v>180</v>
      </c>
      <c r="G84" s="5"/>
      <c r="H84" s="5"/>
      <c r="I84" s="4" t="s">
        <v>17</v>
      </c>
      <c r="J84" s="5"/>
      <c r="K84" s="5"/>
      <c r="L84" s="6" t="s">
        <v>220</v>
      </c>
    </row>
    <row r="85" customFormat="false" ht="15" hidden="false" customHeight="false" outlineLevel="0" collapsed="false">
      <c r="A85" s="2" t="s">
        <v>221</v>
      </c>
      <c r="B85" s="3" t="s">
        <v>222</v>
      </c>
      <c r="C85" s="4" t="s">
        <v>188</v>
      </c>
      <c r="D85" s="4" t="s">
        <v>15</v>
      </c>
      <c r="E85" s="4" t="s">
        <v>16</v>
      </c>
      <c r="F85" s="5" t="n">
        <v>90</v>
      </c>
      <c r="G85" s="5"/>
      <c r="H85" s="5"/>
      <c r="I85" s="4" t="s">
        <v>17</v>
      </c>
      <c r="J85" s="5"/>
      <c r="K85" s="5"/>
      <c r="L85" s="6"/>
    </row>
    <row r="86" customFormat="false" ht="15" hidden="false" customHeight="false" outlineLevel="0" collapsed="false">
      <c r="A86" s="8" t="s">
        <v>223</v>
      </c>
      <c r="B86" s="9" t="s">
        <v>224</v>
      </c>
      <c r="C86" s="10" t="s">
        <v>188</v>
      </c>
      <c r="D86" s="10" t="s">
        <v>15</v>
      </c>
      <c r="E86" s="10" t="s">
        <v>16</v>
      </c>
      <c r="F86" s="10" t="n">
        <v>60</v>
      </c>
      <c r="G86" s="10"/>
      <c r="H86" s="10"/>
      <c r="I86" s="10" t="s">
        <v>225</v>
      </c>
      <c r="J86" s="10"/>
      <c r="K86" s="10"/>
      <c r="L86" s="11" t="s">
        <v>226</v>
      </c>
    </row>
    <row r="87" customFormat="false" ht="15" hidden="false" customHeight="false" outlineLevel="0" collapsed="false">
      <c r="A87" s="2" t="s">
        <v>227</v>
      </c>
      <c r="B87" s="3" t="s">
        <v>228</v>
      </c>
      <c r="C87" s="4" t="s">
        <v>188</v>
      </c>
      <c r="D87" s="4" t="s">
        <v>15</v>
      </c>
      <c r="E87" s="4" t="s">
        <v>16</v>
      </c>
      <c r="F87" s="5" t="n">
        <v>180</v>
      </c>
      <c r="G87" s="5"/>
      <c r="H87" s="5"/>
      <c r="I87" s="4" t="s">
        <v>17</v>
      </c>
      <c r="J87" s="5"/>
      <c r="K87" s="5"/>
      <c r="L87" s="6"/>
    </row>
    <row r="88" customFormat="false" ht="15" hidden="false" customHeight="false" outlineLevel="0" collapsed="false">
      <c r="A88" s="2" t="s">
        <v>229</v>
      </c>
      <c r="B88" s="3" t="s">
        <v>230</v>
      </c>
      <c r="C88" s="4" t="s">
        <v>188</v>
      </c>
      <c r="D88" s="4" t="s">
        <v>15</v>
      </c>
      <c r="E88" s="4" t="s">
        <v>16</v>
      </c>
      <c r="F88" s="5" t="n">
        <v>7</v>
      </c>
      <c r="G88" s="5"/>
      <c r="H88" s="5"/>
      <c r="I88" s="4" t="s">
        <v>17</v>
      </c>
      <c r="J88" s="5"/>
      <c r="K88" s="5"/>
      <c r="L88" s="6" t="s">
        <v>231</v>
      </c>
    </row>
    <row r="89" customFormat="false" ht="15" hidden="false" customHeight="false" outlineLevel="0" collapsed="false">
      <c r="A89" s="2" t="s">
        <v>232</v>
      </c>
      <c r="B89" s="3" t="s">
        <v>233</v>
      </c>
      <c r="C89" s="4" t="s">
        <v>188</v>
      </c>
      <c r="D89" s="4" t="s">
        <v>15</v>
      </c>
      <c r="E89" s="4" t="s">
        <v>16</v>
      </c>
      <c r="F89" s="5" t="n">
        <v>730</v>
      </c>
      <c r="G89" s="5"/>
      <c r="H89" s="5"/>
      <c r="I89" s="4" t="s">
        <v>17</v>
      </c>
      <c r="J89" s="5"/>
      <c r="K89" s="5"/>
      <c r="L89" s="6"/>
    </row>
    <row r="90" customFormat="false" ht="15" hidden="false" customHeight="false" outlineLevel="0" collapsed="false">
      <c r="A90" s="8" t="s">
        <v>234</v>
      </c>
      <c r="B90" s="9" t="s">
        <v>235</v>
      </c>
      <c r="C90" s="10" t="s">
        <v>188</v>
      </c>
      <c r="D90" s="10" t="s">
        <v>15</v>
      </c>
      <c r="E90" s="10" t="s">
        <v>16</v>
      </c>
      <c r="F90" s="10" t="n">
        <v>30</v>
      </c>
      <c r="G90" s="10"/>
      <c r="H90" s="10"/>
      <c r="I90" s="10" t="s">
        <v>225</v>
      </c>
      <c r="J90" s="10"/>
      <c r="K90" s="10"/>
      <c r="L90" s="11" t="s">
        <v>236</v>
      </c>
    </row>
    <row r="91" customFormat="false" ht="15" hidden="false" customHeight="false" outlineLevel="0" collapsed="false">
      <c r="A91" s="2" t="s">
        <v>237</v>
      </c>
      <c r="B91" s="3" t="s">
        <v>238</v>
      </c>
      <c r="C91" s="4" t="s">
        <v>188</v>
      </c>
      <c r="D91" s="4" t="s">
        <v>15</v>
      </c>
      <c r="E91" s="4" t="s">
        <v>16</v>
      </c>
      <c r="F91" s="5" t="n">
        <v>180</v>
      </c>
      <c r="G91" s="5"/>
      <c r="H91" s="5"/>
      <c r="I91" s="4" t="s">
        <v>17</v>
      </c>
      <c r="J91" s="5"/>
      <c r="K91" s="5"/>
      <c r="L91" s="6"/>
    </row>
    <row r="92" customFormat="false" ht="15" hidden="false" customHeight="false" outlineLevel="0" collapsed="false">
      <c r="A92" s="2" t="s">
        <v>239</v>
      </c>
      <c r="B92" s="3" t="s">
        <v>240</v>
      </c>
      <c r="C92" s="4" t="s">
        <v>188</v>
      </c>
      <c r="D92" s="4" t="s">
        <v>15</v>
      </c>
      <c r="E92" s="4" t="s">
        <v>16</v>
      </c>
      <c r="F92" s="5" t="n">
        <v>90</v>
      </c>
      <c r="G92" s="5"/>
      <c r="H92" s="5"/>
      <c r="I92" s="4" t="s">
        <v>17</v>
      </c>
      <c r="J92" s="5"/>
      <c r="K92" s="5"/>
      <c r="L92" s="6"/>
    </row>
    <row r="93" customFormat="false" ht="15" hidden="false" customHeight="false" outlineLevel="0" collapsed="false">
      <c r="A93" s="2" t="s">
        <v>241</v>
      </c>
      <c r="B93" s="3" t="s">
        <v>242</v>
      </c>
      <c r="C93" s="4" t="s">
        <v>243</v>
      </c>
      <c r="D93" s="4" t="s">
        <v>15</v>
      </c>
      <c r="E93" s="4" t="s">
        <v>16</v>
      </c>
      <c r="F93" s="5" t="n">
        <v>1</v>
      </c>
      <c r="G93" s="5"/>
      <c r="H93" s="5"/>
      <c r="I93" s="4" t="s">
        <v>17</v>
      </c>
      <c r="J93" s="5"/>
      <c r="K93" s="5"/>
      <c r="L93" s="6" t="s">
        <v>244</v>
      </c>
    </row>
    <row r="94" customFormat="false" ht="15" hidden="false" customHeight="false" outlineLevel="0" collapsed="false">
      <c r="A94" s="2" t="s">
        <v>245</v>
      </c>
      <c r="B94" s="3" t="s">
        <v>246</v>
      </c>
      <c r="C94" s="4" t="s">
        <v>243</v>
      </c>
      <c r="D94" s="4" t="s">
        <v>15</v>
      </c>
      <c r="E94" s="4" t="s">
        <v>16</v>
      </c>
      <c r="F94" s="5" t="n">
        <v>14</v>
      </c>
      <c r="G94" s="5"/>
      <c r="H94" s="5"/>
      <c r="I94" s="4" t="s">
        <v>17</v>
      </c>
      <c r="J94" s="5"/>
      <c r="K94" s="5"/>
      <c r="L94" s="6" t="s">
        <v>247</v>
      </c>
    </row>
    <row r="95" customFormat="false" ht="15" hidden="false" customHeight="false" outlineLevel="0" collapsed="false">
      <c r="A95" s="2" t="s">
        <v>248</v>
      </c>
      <c r="B95" s="3" t="s">
        <v>249</v>
      </c>
      <c r="C95" s="4" t="s">
        <v>243</v>
      </c>
      <c r="D95" s="4" t="s">
        <v>15</v>
      </c>
      <c r="E95" s="4" t="s">
        <v>16</v>
      </c>
      <c r="F95" s="5" t="n">
        <v>30</v>
      </c>
      <c r="G95" s="5"/>
      <c r="H95" s="5"/>
      <c r="I95" s="4" t="s">
        <v>17</v>
      </c>
      <c r="J95" s="5"/>
      <c r="K95" s="5"/>
      <c r="L95" s="6"/>
    </row>
    <row r="96" customFormat="false" ht="15" hidden="false" customHeight="false" outlineLevel="0" collapsed="false">
      <c r="A96" s="2" t="s">
        <v>250</v>
      </c>
      <c r="B96" s="3" t="s">
        <v>251</v>
      </c>
      <c r="C96" s="4" t="s">
        <v>243</v>
      </c>
      <c r="D96" s="4" t="s">
        <v>15</v>
      </c>
      <c r="E96" s="4" t="s">
        <v>16</v>
      </c>
      <c r="F96" s="5" t="n">
        <v>90</v>
      </c>
      <c r="G96" s="5"/>
      <c r="H96" s="5"/>
      <c r="I96" s="4" t="s">
        <v>17</v>
      </c>
      <c r="J96" s="5"/>
      <c r="K96" s="5" t="s">
        <v>18</v>
      </c>
      <c r="L96" s="7" t="s">
        <v>252</v>
      </c>
    </row>
    <row r="97" customFormat="false" ht="15" hidden="false" customHeight="false" outlineLevel="0" collapsed="false">
      <c r="A97" s="2" t="s">
        <v>253</v>
      </c>
      <c r="B97" s="3" t="s">
        <v>254</v>
      </c>
      <c r="C97" s="4" t="s">
        <v>243</v>
      </c>
      <c r="D97" s="4" t="s">
        <v>55</v>
      </c>
      <c r="E97" s="4" t="s">
        <v>16</v>
      </c>
      <c r="F97" s="5" t="n">
        <v>90</v>
      </c>
      <c r="G97" s="5"/>
      <c r="H97" s="5"/>
      <c r="I97" s="4" t="s">
        <v>17</v>
      </c>
      <c r="J97" s="5"/>
      <c r="K97" s="5"/>
      <c r="L97" s="6" t="s">
        <v>255</v>
      </c>
    </row>
    <row r="98" customFormat="false" ht="15" hidden="false" customHeight="false" outlineLevel="0" collapsed="false">
      <c r="A98" s="2" t="s">
        <v>256</v>
      </c>
      <c r="B98" s="3" t="s">
        <v>257</v>
      </c>
      <c r="C98" s="4" t="s">
        <v>243</v>
      </c>
      <c r="D98" s="4" t="s">
        <v>15</v>
      </c>
      <c r="E98" s="4" t="s">
        <v>16</v>
      </c>
      <c r="F98" s="5" t="n">
        <v>180</v>
      </c>
      <c r="G98" s="5"/>
      <c r="H98" s="5"/>
      <c r="I98" s="4" t="s">
        <v>17</v>
      </c>
      <c r="J98" s="5"/>
      <c r="K98" s="5"/>
      <c r="L98" s="6"/>
    </row>
    <row r="99" customFormat="false" ht="15" hidden="false" customHeight="false" outlineLevel="0" collapsed="false">
      <c r="A99" s="2" t="s">
        <v>258</v>
      </c>
      <c r="B99" s="3" t="s">
        <v>259</v>
      </c>
      <c r="C99" s="4" t="s">
        <v>243</v>
      </c>
      <c r="D99" s="4" t="s">
        <v>55</v>
      </c>
      <c r="E99" s="4" t="s">
        <v>16</v>
      </c>
      <c r="F99" s="5" t="n">
        <v>365</v>
      </c>
      <c r="G99" s="5"/>
      <c r="H99" s="5"/>
      <c r="I99" s="4" t="s">
        <v>17</v>
      </c>
      <c r="J99" s="5"/>
      <c r="K99" s="5" t="s">
        <v>18</v>
      </c>
      <c r="L99" s="7" t="s">
        <v>260</v>
      </c>
    </row>
    <row r="100" customFormat="false" ht="15" hidden="false" customHeight="false" outlineLevel="0" collapsed="false">
      <c r="A100" s="2" t="s">
        <v>261</v>
      </c>
      <c r="B100" s="3" t="s">
        <v>262</v>
      </c>
      <c r="C100" s="4" t="s">
        <v>243</v>
      </c>
      <c r="D100" s="4" t="s">
        <v>55</v>
      </c>
      <c r="E100" s="4" t="s">
        <v>16</v>
      </c>
      <c r="F100" s="5" t="n">
        <v>365</v>
      </c>
      <c r="G100" s="5"/>
      <c r="H100" s="5"/>
      <c r="I100" s="4" t="s">
        <v>17</v>
      </c>
      <c r="J100" s="5"/>
      <c r="K100" s="5"/>
      <c r="L100" s="6" t="s">
        <v>263</v>
      </c>
    </row>
    <row r="101" customFormat="false" ht="15" hidden="false" customHeight="false" outlineLevel="0" collapsed="false">
      <c r="A101" s="2" t="s">
        <v>264</v>
      </c>
      <c r="B101" s="3" t="s">
        <v>265</v>
      </c>
      <c r="C101" s="4" t="s">
        <v>243</v>
      </c>
      <c r="D101" s="4" t="s">
        <v>55</v>
      </c>
      <c r="E101" s="4" t="s">
        <v>16</v>
      </c>
      <c r="F101" s="5" t="n">
        <v>365</v>
      </c>
      <c r="G101" s="5"/>
      <c r="H101" s="5"/>
      <c r="I101" s="4" t="s">
        <v>17</v>
      </c>
      <c r="J101" s="5"/>
      <c r="K101" s="5"/>
      <c r="L101" s="6" t="s">
        <v>266</v>
      </c>
    </row>
    <row r="102" customFormat="false" ht="15" hidden="false" customHeight="false" outlineLevel="0" collapsed="false">
      <c r="A102" s="2" t="s">
        <v>267</v>
      </c>
      <c r="B102" s="3" t="s">
        <v>268</v>
      </c>
      <c r="C102" s="4" t="s">
        <v>243</v>
      </c>
      <c r="D102" s="4" t="s">
        <v>55</v>
      </c>
      <c r="E102" s="4" t="s">
        <v>16</v>
      </c>
      <c r="F102" s="5" t="n">
        <v>120</v>
      </c>
      <c r="G102" s="5"/>
      <c r="H102" s="5"/>
      <c r="I102" s="4" t="s">
        <v>17</v>
      </c>
      <c r="J102" s="5"/>
      <c r="K102" s="5" t="s">
        <v>18</v>
      </c>
      <c r="L102" s="7" t="s">
        <v>269</v>
      </c>
    </row>
    <row r="103" customFormat="false" ht="15" hidden="false" customHeight="false" outlineLevel="0" collapsed="false">
      <c r="A103" s="2" t="s">
        <v>270</v>
      </c>
      <c r="B103" s="3" t="s">
        <v>271</v>
      </c>
      <c r="C103" s="4" t="s">
        <v>243</v>
      </c>
      <c r="D103" s="4" t="s">
        <v>55</v>
      </c>
      <c r="E103" s="4" t="s">
        <v>16</v>
      </c>
      <c r="F103" s="5" t="n">
        <v>180</v>
      </c>
      <c r="G103" s="5"/>
      <c r="H103" s="5"/>
      <c r="I103" s="4" t="s">
        <v>17</v>
      </c>
      <c r="J103" s="5"/>
      <c r="K103" s="5"/>
      <c r="L103" s="6" t="s">
        <v>272</v>
      </c>
    </row>
    <row r="104" customFormat="false" ht="15" hidden="false" customHeight="false" outlineLevel="0" collapsed="false">
      <c r="A104" s="2" t="s">
        <v>273</v>
      </c>
      <c r="B104" s="3" t="s">
        <v>274</v>
      </c>
      <c r="C104" s="4" t="s">
        <v>243</v>
      </c>
      <c r="D104" s="4" t="s">
        <v>55</v>
      </c>
      <c r="E104" s="4" t="s">
        <v>16</v>
      </c>
      <c r="F104" s="5" t="n">
        <v>730</v>
      </c>
      <c r="G104" s="5"/>
      <c r="H104" s="5"/>
      <c r="I104" s="4" t="s">
        <v>17</v>
      </c>
      <c r="J104" s="5"/>
      <c r="K104" s="5"/>
      <c r="L104" s="6" t="s">
        <v>275</v>
      </c>
    </row>
    <row r="105" customFormat="false" ht="15" hidden="false" customHeight="false" outlineLevel="0" collapsed="false">
      <c r="A105" s="2" t="s">
        <v>276</v>
      </c>
      <c r="B105" s="3" t="s">
        <v>277</v>
      </c>
      <c r="C105" s="4" t="s">
        <v>243</v>
      </c>
      <c r="D105" s="4" t="s">
        <v>55</v>
      </c>
      <c r="E105" s="4" t="s">
        <v>16</v>
      </c>
      <c r="F105" s="5" t="n">
        <v>545</v>
      </c>
      <c r="G105" s="5"/>
      <c r="H105" s="5"/>
      <c r="I105" s="4" t="s">
        <v>17</v>
      </c>
      <c r="J105" s="5"/>
      <c r="K105" s="5"/>
      <c r="L105" s="6" t="s">
        <v>278</v>
      </c>
    </row>
    <row r="106" customFormat="false" ht="15" hidden="false" customHeight="false" outlineLevel="0" collapsed="false">
      <c r="A106" s="2" t="s">
        <v>279</v>
      </c>
      <c r="B106" s="3" t="s">
        <v>280</v>
      </c>
      <c r="C106" s="4" t="s">
        <v>243</v>
      </c>
      <c r="D106" s="4" t="s">
        <v>55</v>
      </c>
      <c r="E106" s="4" t="s">
        <v>16</v>
      </c>
      <c r="F106" s="5" t="n">
        <v>365</v>
      </c>
      <c r="G106" s="5"/>
      <c r="H106" s="5"/>
      <c r="I106" s="4" t="s">
        <v>17</v>
      </c>
      <c r="J106" s="5"/>
      <c r="K106" s="5"/>
      <c r="L106" s="6"/>
    </row>
    <row r="107" customFormat="false" ht="15" hidden="false" customHeight="false" outlineLevel="0" collapsed="false">
      <c r="A107" s="2" t="s">
        <v>281</v>
      </c>
      <c r="B107" s="3" t="s">
        <v>282</v>
      </c>
      <c r="C107" s="4" t="s">
        <v>243</v>
      </c>
      <c r="D107" s="4" t="s">
        <v>55</v>
      </c>
      <c r="E107" s="4" t="s">
        <v>16</v>
      </c>
      <c r="F107" s="5" t="n">
        <v>365</v>
      </c>
      <c r="G107" s="5"/>
      <c r="H107" s="5"/>
      <c r="I107" s="4" t="s">
        <v>17</v>
      </c>
      <c r="J107" s="5"/>
      <c r="K107" s="5"/>
      <c r="L107" s="6"/>
    </row>
    <row r="108" customFormat="false" ht="15" hidden="false" customHeight="false" outlineLevel="0" collapsed="false">
      <c r="A108" s="2" t="s">
        <v>283</v>
      </c>
      <c r="B108" s="3" t="s">
        <v>284</v>
      </c>
      <c r="C108" s="4" t="s">
        <v>243</v>
      </c>
      <c r="D108" s="4" t="s">
        <v>55</v>
      </c>
      <c r="E108" s="4" t="s">
        <v>16</v>
      </c>
      <c r="F108" s="5" t="n">
        <v>365</v>
      </c>
      <c r="G108" s="5"/>
      <c r="H108" s="5"/>
      <c r="I108" s="4" t="s">
        <v>17</v>
      </c>
      <c r="J108" s="5"/>
      <c r="K108" s="5"/>
      <c r="L108" s="6"/>
    </row>
    <row r="109" customFormat="false" ht="15" hidden="false" customHeight="false" outlineLevel="0" collapsed="false">
      <c r="A109" s="2" t="s">
        <v>285</v>
      </c>
      <c r="B109" s="3" t="s">
        <v>286</v>
      </c>
      <c r="C109" s="4" t="s">
        <v>243</v>
      </c>
      <c r="D109" s="4" t="s">
        <v>55</v>
      </c>
      <c r="E109" s="4" t="s">
        <v>16</v>
      </c>
      <c r="F109" s="5" t="n">
        <v>180</v>
      </c>
      <c r="G109" s="5"/>
      <c r="H109" s="5"/>
      <c r="I109" s="4" t="s">
        <v>17</v>
      </c>
      <c r="J109" s="5"/>
      <c r="K109" s="5"/>
      <c r="L109" s="6"/>
    </row>
    <row r="110" customFormat="false" ht="15" hidden="false" customHeight="false" outlineLevel="0" collapsed="false">
      <c r="A110" s="2" t="s">
        <v>287</v>
      </c>
      <c r="B110" s="3" t="s">
        <v>288</v>
      </c>
      <c r="C110" s="4" t="s">
        <v>243</v>
      </c>
      <c r="D110" s="4" t="s">
        <v>55</v>
      </c>
      <c r="E110" s="4" t="s">
        <v>16</v>
      </c>
      <c r="F110" s="5" t="n">
        <v>180</v>
      </c>
      <c r="G110" s="5"/>
      <c r="H110" s="5"/>
      <c r="I110" s="4" t="s">
        <v>17</v>
      </c>
      <c r="J110" s="5"/>
      <c r="K110" s="5"/>
      <c r="L110" s="6"/>
    </row>
    <row r="111" customFormat="false" ht="15" hidden="false" customHeight="false" outlineLevel="0" collapsed="false">
      <c r="A111" s="2" t="s">
        <v>289</v>
      </c>
      <c r="B111" s="3" t="s">
        <v>290</v>
      </c>
      <c r="C111" s="4" t="s">
        <v>243</v>
      </c>
      <c r="D111" s="4" t="s">
        <v>55</v>
      </c>
      <c r="E111" s="4" t="s">
        <v>16</v>
      </c>
      <c r="F111" s="5" t="n">
        <v>90</v>
      </c>
      <c r="G111" s="5"/>
      <c r="H111" s="5"/>
      <c r="I111" s="4" t="s">
        <v>17</v>
      </c>
      <c r="J111" s="5"/>
      <c r="K111" s="5"/>
      <c r="L111" s="6" t="s">
        <v>291</v>
      </c>
    </row>
    <row r="112" customFormat="false" ht="15" hidden="false" customHeight="false" outlineLevel="0" collapsed="false">
      <c r="A112" s="2" t="s">
        <v>292</v>
      </c>
      <c r="B112" s="3" t="s">
        <v>293</v>
      </c>
      <c r="C112" s="4" t="s">
        <v>243</v>
      </c>
      <c r="D112" s="4" t="s">
        <v>55</v>
      </c>
      <c r="E112" s="4" t="s">
        <v>16</v>
      </c>
      <c r="F112" s="5" t="n">
        <v>180</v>
      </c>
      <c r="G112" s="5"/>
      <c r="H112" s="5"/>
      <c r="I112" s="4" t="s">
        <v>17</v>
      </c>
      <c r="J112" s="5"/>
      <c r="K112" s="5"/>
      <c r="L112" s="6" t="s">
        <v>294</v>
      </c>
    </row>
    <row r="113" customFormat="false" ht="15" hidden="false" customHeight="false" outlineLevel="0" collapsed="false">
      <c r="A113" s="2" t="s">
        <v>295</v>
      </c>
      <c r="B113" s="3" t="s">
        <v>296</v>
      </c>
      <c r="C113" s="4" t="s">
        <v>243</v>
      </c>
      <c r="D113" s="4" t="s">
        <v>55</v>
      </c>
      <c r="E113" s="4" t="s">
        <v>16</v>
      </c>
      <c r="F113" s="5" t="n">
        <v>365</v>
      </c>
      <c r="G113" s="5"/>
      <c r="H113" s="5"/>
      <c r="I113" s="4" t="s">
        <v>17</v>
      </c>
      <c r="J113" s="5"/>
      <c r="K113" s="5"/>
      <c r="L113" s="6"/>
    </row>
    <row r="114" customFormat="false" ht="15" hidden="false" customHeight="false" outlineLevel="0" collapsed="false">
      <c r="A114" s="2" t="s">
        <v>297</v>
      </c>
      <c r="B114" s="3" t="s">
        <v>298</v>
      </c>
      <c r="C114" s="4" t="s">
        <v>243</v>
      </c>
      <c r="D114" s="4" t="s">
        <v>55</v>
      </c>
      <c r="E114" s="4" t="s">
        <v>16</v>
      </c>
      <c r="F114" s="5" t="n">
        <v>365</v>
      </c>
      <c r="G114" s="5"/>
      <c r="H114" s="5"/>
      <c r="I114" s="4" t="s">
        <v>17</v>
      </c>
      <c r="J114" s="5"/>
      <c r="K114" s="5"/>
      <c r="L114" s="6"/>
    </row>
    <row r="115" customFormat="false" ht="15" hidden="false" customHeight="false" outlineLevel="0" collapsed="false">
      <c r="A115" s="2" t="s">
        <v>299</v>
      </c>
      <c r="B115" s="3" t="s">
        <v>300</v>
      </c>
      <c r="C115" s="4" t="s">
        <v>243</v>
      </c>
      <c r="D115" s="4" t="s">
        <v>55</v>
      </c>
      <c r="E115" s="4" t="s">
        <v>16</v>
      </c>
      <c r="F115" s="5" t="n">
        <v>1095</v>
      </c>
      <c r="G115" s="5"/>
      <c r="H115" s="5"/>
      <c r="I115" s="4" t="s">
        <v>17</v>
      </c>
      <c r="J115" s="5"/>
      <c r="K115" s="5"/>
      <c r="L115" s="6" t="s">
        <v>301</v>
      </c>
    </row>
    <row r="116" customFormat="false" ht="15" hidden="false" customHeight="false" outlineLevel="0" collapsed="false">
      <c r="A116" s="2" t="s">
        <v>302</v>
      </c>
      <c r="B116" s="3" t="s">
        <v>303</v>
      </c>
      <c r="C116" s="4" t="s">
        <v>243</v>
      </c>
      <c r="D116" s="4" t="s">
        <v>55</v>
      </c>
      <c r="E116" s="4" t="s">
        <v>16</v>
      </c>
      <c r="F116" s="5" t="n">
        <v>730</v>
      </c>
      <c r="G116" s="5"/>
      <c r="H116" s="5"/>
      <c r="I116" s="4" t="s">
        <v>17</v>
      </c>
      <c r="J116" s="5"/>
      <c r="K116" s="5"/>
      <c r="L116" s="6"/>
    </row>
    <row r="117" customFormat="false" ht="15" hidden="false" customHeight="false" outlineLevel="0" collapsed="false">
      <c r="A117" s="2" t="s">
        <v>304</v>
      </c>
      <c r="B117" s="3" t="s">
        <v>305</v>
      </c>
      <c r="C117" s="4" t="s">
        <v>243</v>
      </c>
      <c r="D117" s="4" t="s">
        <v>15</v>
      </c>
      <c r="E117" s="4" t="s">
        <v>16</v>
      </c>
      <c r="F117" s="5" t="n">
        <v>14</v>
      </c>
      <c r="G117" s="5"/>
      <c r="H117" s="5"/>
      <c r="I117" s="4" t="s">
        <v>17</v>
      </c>
      <c r="J117" s="5"/>
      <c r="K117" s="5"/>
      <c r="L117" s="7" t="s">
        <v>306</v>
      </c>
    </row>
    <row r="118" customFormat="false" ht="15" hidden="false" customHeight="false" outlineLevel="0" collapsed="false">
      <c r="A118" s="2" t="s">
        <v>307</v>
      </c>
      <c r="B118" s="3" t="s">
        <v>308</v>
      </c>
      <c r="C118" s="4" t="s">
        <v>243</v>
      </c>
      <c r="D118" s="4" t="s">
        <v>15</v>
      </c>
      <c r="E118" s="4" t="s">
        <v>16</v>
      </c>
      <c r="F118" s="5" t="n">
        <v>730</v>
      </c>
      <c r="G118" s="5"/>
      <c r="H118" s="5"/>
      <c r="I118" s="4" t="s">
        <v>17</v>
      </c>
      <c r="J118" s="5"/>
      <c r="K118" s="5"/>
      <c r="L118" s="6"/>
    </row>
    <row r="119" customFormat="false" ht="15" hidden="false" customHeight="false" outlineLevel="0" collapsed="false">
      <c r="A119" s="2" t="s">
        <v>309</v>
      </c>
      <c r="B119" s="3" t="s">
        <v>310</v>
      </c>
      <c r="C119" s="4" t="s">
        <v>243</v>
      </c>
      <c r="D119" s="4" t="s">
        <v>15</v>
      </c>
      <c r="E119" s="4" t="s">
        <v>16</v>
      </c>
      <c r="F119" s="5" t="n">
        <v>30</v>
      </c>
      <c r="G119" s="5"/>
      <c r="H119" s="5"/>
      <c r="I119" s="4" t="s">
        <v>17</v>
      </c>
      <c r="J119" s="5"/>
      <c r="K119" s="5" t="s">
        <v>18</v>
      </c>
      <c r="L119" s="7" t="s">
        <v>81</v>
      </c>
    </row>
    <row r="120" customFormat="false" ht="15" hidden="false" customHeight="false" outlineLevel="0" collapsed="false">
      <c r="A120" s="2" t="s">
        <v>311</v>
      </c>
      <c r="B120" s="3" t="s">
        <v>312</v>
      </c>
      <c r="C120" s="4" t="s">
        <v>243</v>
      </c>
      <c r="D120" s="4" t="s">
        <v>55</v>
      </c>
      <c r="E120" s="4" t="s">
        <v>16</v>
      </c>
      <c r="F120" s="5" t="n">
        <v>365</v>
      </c>
      <c r="G120" s="5"/>
      <c r="H120" s="5"/>
      <c r="I120" s="4" t="s">
        <v>17</v>
      </c>
      <c r="J120" s="5"/>
      <c r="K120" s="5"/>
      <c r="L120" s="6"/>
    </row>
    <row r="121" customFormat="false" ht="15" hidden="false" customHeight="false" outlineLevel="0" collapsed="false">
      <c r="A121" s="2" t="s">
        <v>313</v>
      </c>
      <c r="B121" s="3" t="s">
        <v>314</v>
      </c>
      <c r="C121" s="4" t="s">
        <v>243</v>
      </c>
      <c r="D121" s="4" t="s">
        <v>55</v>
      </c>
      <c r="E121" s="4" t="s">
        <v>16</v>
      </c>
      <c r="F121" s="5" t="n">
        <v>365</v>
      </c>
      <c r="G121" s="5"/>
      <c r="H121" s="5"/>
      <c r="I121" s="4" t="s">
        <v>17</v>
      </c>
      <c r="J121" s="5"/>
      <c r="K121" s="5"/>
      <c r="L121" s="6"/>
    </row>
    <row r="122" customFormat="false" ht="15" hidden="false" customHeight="false" outlineLevel="0" collapsed="false">
      <c r="A122" s="2" t="s">
        <v>315</v>
      </c>
      <c r="B122" s="3" t="s">
        <v>316</v>
      </c>
      <c r="C122" s="4" t="s">
        <v>243</v>
      </c>
      <c r="D122" s="4" t="s">
        <v>15</v>
      </c>
      <c r="E122" s="4" t="s">
        <v>16</v>
      </c>
      <c r="F122" s="5" t="n">
        <v>60</v>
      </c>
      <c r="G122" s="5"/>
      <c r="H122" s="5"/>
      <c r="I122" s="4" t="s">
        <v>17</v>
      </c>
      <c r="J122" s="5"/>
      <c r="K122" s="5"/>
      <c r="L122" s="6" t="s">
        <v>317</v>
      </c>
    </row>
    <row r="123" customFormat="false" ht="15" hidden="false" customHeight="false" outlineLevel="0" collapsed="false">
      <c r="A123" s="2" t="s">
        <v>318</v>
      </c>
      <c r="B123" s="3" t="s">
        <v>319</v>
      </c>
      <c r="C123" s="4" t="s">
        <v>320</v>
      </c>
      <c r="D123" s="4" t="s">
        <v>55</v>
      </c>
      <c r="E123" s="4" t="s">
        <v>16</v>
      </c>
      <c r="F123" s="5" t="n">
        <v>180</v>
      </c>
      <c r="G123" s="5"/>
      <c r="H123" s="5"/>
      <c r="I123" s="4" t="s">
        <v>17</v>
      </c>
      <c r="J123" s="5"/>
      <c r="K123" s="5"/>
      <c r="L123" s="6" t="s">
        <v>321</v>
      </c>
    </row>
    <row r="124" customFormat="false" ht="15" hidden="false" customHeight="false" outlineLevel="0" collapsed="false">
      <c r="A124" s="2" t="s">
        <v>322</v>
      </c>
      <c r="B124" s="3" t="s">
        <v>323</v>
      </c>
      <c r="C124" s="4" t="s">
        <v>320</v>
      </c>
      <c r="D124" s="4" t="s">
        <v>55</v>
      </c>
      <c r="E124" s="4" t="s">
        <v>16</v>
      </c>
      <c r="F124" s="5" t="n">
        <v>90</v>
      </c>
      <c r="G124" s="5"/>
      <c r="H124" s="5"/>
      <c r="I124" s="4" t="s">
        <v>17</v>
      </c>
      <c r="J124" s="5"/>
      <c r="K124" s="5"/>
      <c r="L124" s="6" t="s">
        <v>324</v>
      </c>
    </row>
    <row r="125" customFormat="false" ht="15" hidden="false" customHeight="false" outlineLevel="0" collapsed="false">
      <c r="A125" s="12" t="s">
        <v>325</v>
      </c>
      <c r="B125" s="13" t="s">
        <v>326</v>
      </c>
      <c r="C125" s="14" t="s">
        <v>320</v>
      </c>
      <c r="D125" s="14" t="s">
        <v>15</v>
      </c>
      <c r="E125" s="14" t="s">
        <v>16</v>
      </c>
      <c r="F125" s="14" t="n">
        <v>180</v>
      </c>
      <c r="G125" s="14"/>
      <c r="H125" s="14"/>
      <c r="I125" s="14" t="s">
        <v>17</v>
      </c>
      <c r="J125" s="15" t="s">
        <v>18</v>
      </c>
      <c r="K125" s="15"/>
      <c r="L125" s="16" t="s">
        <v>327</v>
      </c>
    </row>
    <row r="126" customFormat="false" ht="15" hidden="false" customHeight="false" outlineLevel="0" collapsed="false">
      <c r="A126" s="12" t="s">
        <v>328</v>
      </c>
      <c r="B126" s="13" t="s">
        <v>329</v>
      </c>
      <c r="C126" s="14" t="s">
        <v>320</v>
      </c>
      <c r="D126" s="14" t="s">
        <v>15</v>
      </c>
      <c r="E126" s="14" t="s">
        <v>16</v>
      </c>
      <c r="F126" s="15" t="n">
        <v>180</v>
      </c>
      <c r="G126" s="15"/>
      <c r="H126" s="15"/>
      <c r="I126" s="14" t="s">
        <v>17</v>
      </c>
      <c r="J126" s="15" t="s">
        <v>18</v>
      </c>
      <c r="K126" s="15"/>
      <c r="L126" s="16" t="s">
        <v>327</v>
      </c>
    </row>
    <row r="127" customFormat="false" ht="15" hidden="false" customHeight="false" outlineLevel="0" collapsed="false">
      <c r="A127" s="2" t="s">
        <v>330</v>
      </c>
      <c r="B127" s="3" t="s">
        <v>331</v>
      </c>
      <c r="C127" s="4" t="s">
        <v>320</v>
      </c>
      <c r="D127" s="4" t="s">
        <v>15</v>
      </c>
      <c r="E127" s="4" t="s">
        <v>16</v>
      </c>
      <c r="F127" s="5" t="n">
        <v>1</v>
      </c>
      <c r="G127" s="5"/>
      <c r="H127" s="5"/>
      <c r="I127" s="4" t="s">
        <v>17</v>
      </c>
      <c r="J127" s="5"/>
      <c r="K127" s="5"/>
      <c r="L127" s="7" t="s">
        <v>332</v>
      </c>
    </row>
    <row r="128" customFormat="false" ht="15" hidden="false" customHeight="false" outlineLevel="0" collapsed="false">
      <c r="A128" s="2" t="s">
        <v>333</v>
      </c>
      <c r="B128" s="3" t="s">
        <v>334</v>
      </c>
      <c r="C128" s="4" t="s">
        <v>320</v>
      </c>
      <c r="D128" s="4" t="s">
        <v>15</v>
      </c>
      <c r="E128" s="4" t="s">
        <v>16</v>
      </c>
      <c r="F128" s="5" t="n">
        <v>730</v>
      </c>
      <c r="G128" s="5"/>
      <c r="H128" s="5"/>
      <c r="I128" s="4" t="s">
        <v>17</v>
      </c>
      <c r="J128" s="5"/>
      <c r="K128" s="5"/>
      <c r="L128" s="6"/>
    </row>
    <row r="129" customFormat="false" ht="15" hidden="false" customHeight="false" outlineLevel="0" collapsed="false">
      <c r="A129" s="2" t="s">
        <v>335</v>
      </c>
      <c r="B129" s="3" t="s">
        <v>336</v>
      </c>
      <c r="C129" s="4" t="s">
        <v>320</v>
      </c>
      <c r="D129" s="4" t="s">
        <v>15</v>
      </c>
      <c r="E129" s="4" t="s">
        <v>16</v>
      </c>
      <c r="F129" s="5" t="n">
        <v>730</v>
      </c>
      <c r="G129" s="5"/>
      <c r="H129" s="5"/>
      <c r="I129" s="4" t="s">
        <v>17</v>
      </c>
      <c r="J129" s="5"/>
      <c r="K129" s="5"/>
      <c r="L129" s="6"/>
    </row>
    <row r="130" customFormat="false" ht="15" hidden="false" customHeight="false" outlineLevel="0" collapsed="false">
      <c r="A130" s="2" t="s">
        <v>337</v>
      </c>
      <c r="B130" s="3" t="s">
        <v>338</v>
      </c>
      <c r="C130" s="4" t="s">
        <v>320</v>
      </c>
      <c r="D130" s="4" t="s">
        <v>55</v>
      </c>
      <c r="E130" s="4" t="s">
        <v>16</v>
      </c>
      <c r="F130" s="5" t="n">
        <v>365</v>
      </c>
      <c r="G130" s="5"/>
      <c r="H130" s="5"/>
      <c r="I130" s="4" t="s">
        <v>17</v>
      </c>
      <c r="J130" s="5"/>
      <c r="K130" s="5"/>
      <c r="L130" s="6" t="s">
        <v>339</v>
      </c>
    </row>
    <row r="131" customFormat="false" ht="15" hidden="false" customHeight="false" outlineLevel="0" collapsed="false">
      <c r="A131" s="12" t="s">
        <v>340</v>
      </c>
      <c r="B131" s="13" t="s">
        <v>341</v>
      </c>
      <c r="C131" s="14" t="s">
        <v>320</v>
      </c>
      <c r="D131" s="14" t="s">
        <v>15</v>
      </c>
      <c r="E131" s="14" t="s">
        <v>16</v>
      </c>
      <c r="F131" s="15" t="n">
        <v>365</v>
      </c>
      <c r="G131" s="15"/>
      <c r="H131" s="15"/>
      <c r="I131" s="14" t="s">
        <v>17</v>
      </c>
      <c r="J131" s="15" t="s">
        <v>18</v>
      </c>
      <c r="K131" s="15"/>
      <c r="L131" s="16" t="s">
        <v>327</v>
      </c>
    </row>
    <row r="132" customFormat="false" ht="15" hidden="false" customHeight="false" outlineLevel="0" collapsed="false">
      <c r="A132" s="8" t="s">
        <v>342</v>
      </c>
      <c r="B132" s="9" t="s">
        <v>343</v>
      </c>
      <c r="C132" s="10" t="s">
        <v>320</v>
      </c>
      <c r="D132" s="10" t="s">
        <v>15</v>
      </c>
      <c r="E132" s="10" t="s">
        <v>16</v>
      </c>
      <c r="F132" s="10" t="n">
        <v>365</v>
      </c>
      <c r="G132" s="10"/>
      <c r="H132" s="10"/>
      <c r="I132" s="10" t="s">
        <v>179</v>
      </c>
      <c r="J132" s="10"/>
      <c r="K132" s="10"/>
      <c r="L132" s="11"/>
    </row>
    <row r="133" customFormat="false" ht="15" hidden="false" customHeight="false" outlineLevel="0" collapsed="false">
      <c r="A133" s="12" t="s">
        <v>344</v>
      </c>
      <c r="B133" s="13" t="s">
        <v>345</v>
      </c>
      <c r="C133" s="14" t="s">
        <v>346</v>
      </c>
      <c r="D133" s="14" t="s">
        <v>15</v>
      </c>
      <c r="E133" s="14" t="s">
        <v>16</v>
      </c>
      <c r="F133" s="15" t="n">
        <v>365</v>
      </c>
      <c r="G133" s="15"/>
      <c r="H133" s="15"/>
      <c r="I133" s="14" t="s">
        <v>17</v>
      </c>
      <c r="J133" s="15" t="s">
        <v>18</v>
      </c>
      <c r="K133" s="15"/>
      <c r="L133" s="16" t="s">
        <v>347</v>
      </c>
    </row>
    <row r="134" customFormat="false" ht="15" hidden="false" customHeight="false" outlineLevel="0" collapsed="false">
      <c r="A134" s="12" t="s">
        <v>348</v>
      </c>
      <c r="B134" s="13" t="s">
        <v>349</v>
      </c>
      <c r="C134" s="14" t="s">
        <v>346</v>
      </c>
      <c r="D134" s="14" t="s">
        <v>15</v>
      </c>
      <c r="E134" s="14" t="s">
        <v>16</v>
      </c>
      <c r="F134" s="15" t="n">
        <v>3650</v>
      </c>
      <c r="G134" s="15"/>
      <c r="H134" s="15"/>
      <c r="I134" s="14" t="s">
        <v>17</v>
      </c>
      <c r="J134" s="15" t="s">
        <v>18</v>
      </c>
      <c r="K134" s="15"/>
      <c r="L134" s="16" t="s">
        <v>350</v>
      </c>
    </row>
    <row r="135" customFormat="false" ht="15" hidden="false" customHeight="false" outlineLevel="0" collapsed="false">
      <c r="A135" s="12" t="s">
        <v>351</v>
      </c>
      <c r="B135" s="13" t="s">
        <v>352</v>
      </c>
      <c r="C135" s="14" t="s">
        <v>346</v>
      </c>
      <c r="D135" s="14" t="s">
        <v>15</v>
      </c>
      <c r="E135" s="14" t="s">
        <v>16</v>
      </c>
      <c r="F135" s="15" t="n">
        <v>30</v>
      </c>
      <c r="G135" s="15"/>
      <c r="H135" s="15"/>
      <c r="I135" s="14" t="s">
        <v>17</v>
      </c>
      <c r="J135" s="15" t="s">
        <v>18</v>
      </c>
      <c r="K135" s="15"/>
      <c r="L135" s="16" t="s">
        <v>353</v>
      </c>
    </row>
    <row r="136" customFormat="false" ht="15" hidden="false" customHeight="false" outlineLevel="0" collapsed="false">
      <c r="A136" s="12" t="s">
        <v>354</v>
      </c>
      <c r="B136" s="13" t="s">
        <v>355</v>
      </c>
      <c r="C136" s="14" t="s">
        <v>346</v>
      </c>
      <c r="D136" s="14" t="s">
        <v>15</v>
      </c>
      <c r="E136" s="14" t="s">
        <v>16</v>
      </c>
      <c r="F136" s="15" t="n">
        <v>3650</v>
      </c>
      <c r="G136" s="15"/>
      <c r="H136" s="15"/>
      <c r="I136" s="14" t="s">
        <v>17</v>
      </c>
      <c r="J136" s="15" t="s">
        <v>18</v>
      </c>
      <c r="K136" s="15"/>
      <c r="L136" s="16" t="s">
        <v>350</v>
      </c>
    </row>
    <row r="137" customFormat="false" ht="15" hidden="false" customHeight="false" outlineLevel="0" collapsed="false">
      <c r="A137" s="12" t="s">
        <v>356</v>
      </c>
      <c r="B137" s="13" t="s">
        <v>357</v>
      </c>
      <c r="C137" s="14" t="s">
        <v>346</v>
      </c>
      <c r="D137" s="14" t="s">
        <v>15</v>
      </c>
      <c r="E137" s="14" t="s">
        <v>16</v>
      </c>
      <c r="F137" s="15" t="n">
        <v>1825</v>
      </c>
      <c r="G137" s="15"/>
      <c r="H137" s="15"/>
      <c r="I137" s="14" t="s">
        <v>17</v>
      </c>
      <c r="J137" s="15" t="s">
        <v>18</v>
      </c>
      <c r="K137" s="15"/>
      <c r="L137" s="16" t="s">
        <v>358</v>
      </c>
    </row>
    <row r="138" customFormat="false" ht="15" hidden="false" customHeight="false" outlineLevel="0" collapsed="false">
      <c r="A138" s="12" t="s">
        <v>359</v>
      </c>
      <c r="B138" s="13" t="s">
        <v>360</v>
      </c>
      <c r="C138" s="14" t="s">
        <v>346</v>
      </c>
      <c r="D138" s="14" t="s">
        <v>15</v>
      </c>
      <c r="E138" s="14" t="s">
        <v>16</v>
      </c>
      <c r="F138" s="15" t="n">
        <v>30</v>
      </c>
      <c r="G138" s="15"/>
      <c r="H138" s="15"/>
      <c r="I138" s="14" t="s">
        <v>17</v>
      </c>
      <c r="J138" s="15" t="s">
        <v>18</v>
      </c>
      <c r="K138" s="15"/>
      <c r="L138" s="16" t="s">
        <v>361</v>
      </c>
    </row>
    <row r="139" customFormat="false" ht="15" hidden="false" customHeight="false" outlineLevel="0" collapsed="false">
      <c r="A139" s="12" t="s">
        <v>362</v>
      </c>
      <c r="B139" s="13" t="s">
        <v>363</v>
      </c>
      <c r="C139" s="14" t="s">
        <v>346</v>
      </c>
      <c r="D139" s="14" t="s">
        <v>15</v>
      </c>
      <c r="E139" s="14" t="s">
        <v>16</v>
      </c>
      <c r="F139" s="15" t="n">
        <v>1095</v>
      </c>
      <c r="G139" s="15"/>
      <c r="H139" s="15"/>
      <c r="I139" s="14" t="s">
        <v>17</v>
      </c>
      <c r="J139" s="15" t="s">
        <v>18</v>
      </c>
      <c r="K139" s="15"/>
      <c r="L139" s="16" t="s">
        <v>364</v>
      </c>
    </row>
    <row r="140" customFormat="false" ht="15" hidden="false" customHeight="false" outlineLevel="0" collapsed="false">
      <c r="A140" s="12" t="s">
        <v>365</v>
      </c>
      <c r="B140" s="13" t="s">
        <v>366</v>
      </c>
      <c r="C140" s="14" t="s">
        <v>346</v>
      </c>
      <c r="D140" s="14" t="s">
        <v>15</v>
      </c>
      <c r="E140" s="14" t="s">
        <v>16</v>
      </c>
      <c r="F140" s="15" t="n">
        <v>180</v>
      </c>
      <c r="G140" s="15"/>
      <c r="H140" s="15"/>
      <c r="I140" s="14" t="s">
        <v>17</v>
      </c>
      <c r="J140" s="15" t="s">
        <v>18</v>
      </c>
      <c r="K140" s="15"/>
      <c r="L140" s="16"/>
    </row>
    <row r="141" customFormat="false" ht="15" hidden="false" customHeight="false" outlineLevel="0" collapsed="false">
      <c r="A141" s="2" t="s">
        <v>367</v>
      </c>
      <c r="B141" s="3" t="s">
        <v>368</v>
      </c>
      <c r="C141" s="4" t="s">
        <v>369</v>
      </c>
      <c r="D141" s="4" t="s">
        <v>15</v>
      </c>
      <c r="E141" s="4" t="s">
        <v>16</v>
      </c>
      <c r="F141" s="5" t="n">
        <v>60</v>
      </c>
      <c r="G141" s="5"/>
      <c r="H141" s="5"/>
      <c r="I141" s="4" t="s">
        <v>17</v>
      </c>
      <c r="J141" s="5"/>
      <c r="K141" s="5" t="s">
        <v>18</v>
      </c>
      <c r="L141" s="7" t="s">
        <v>370</v>
      </c>
    </row>
    <row r="142" customFormat="false" ht="15" hidden="false" customHeight="false" outlineLevel="0" collapsed="false">
      <c r="A142" s="2" t="s">
        <v>371</v>
      </c>
      <c r="B142" s="3" t="s">
        <v>372</v>
      </c>
      <c r="C142" s="4" t="s">
        <v>369</v>
      </c>
      <c r="D142" s="4" t="s">
        <v>15</v>
      </c>
      <c r="E142" s="4" t="s">
        <v>16</v>
      </c>
      <c r="F142" s="5" t="n">
        <v>30</v>
      </c>
      <c r="G142" s="5"/>
      <c r="H142" s="5"/>
      <c r="I142" s="4" t="s">
        <v>17</v>
      </c>
      <c r="J142" s="5"/>
      <c r="K142" s="5"/>
      <c r="L142" s="6"/>
    </row>
    <row r="143" customFormat="false" ht="15" hidden="false" customHeight="false" outlineLevel="0" collapsed="false">
      <c r="A143" s="2" t="s">
        <v>373</v>
      </c>
      <c r="B143" s="3" t="s">
        <v>374</v>
      </c>
      <c r="C143" s="4" t="s">
        <v>369</v>
      </c>
      <c r="D143" s="4" t="s">
        <v>15</v>
      </c>
      <c r="E143" s="4" t="s">
        <v>16</v>
      </c>
      <c r="F143" s="5" t="n">
        <v>7</v>
      </c>
      <c r="G143" s="5"/>
      <c r="H143" s="5"/>
      <c r="I143" s="4" t="s">
        <v>17</v>
      </c>
      <c r="J143" s="5"/>
      <c r="K143" s="5"/>
      <c r="L143" s="6" t="s">
        <v>375</v>
      </c>
    </row>
    <row r="144" customFormat="false" ht="15" hidden="false" customHeight="false" outlineLevel="0" collapsed="false">
      <c r="A144" s="2" t="s">
        <v>376</v>
      </c>
      <c r="B144" s="3" t="s">
        <v>377</v>
      </c>
      <c r="C144" s="4" t="s">
        <v>369</v>
      </c>
      <c r="D144" s="4" t="s">
        <v>15</v>
      </c>
      <c r="E144" s="4" t="s">
        <v>378</v>
      </c>
      <c r="F144" s="5" t="n">
        <v>540</v>
      </c>
      <c r="G144" s="5" t="n">
        <v>700</v>
      </c>
      <c r="H144" s="5" t="s">
        <v>379</v>
      </c>
      <c r="I144" s="4" t="s">
        <v>17</v>
      </c>
      <c r="J144" s="5"/>
      <c r="K144" s="5"/>
      <c r="L144" s="6" t="s">
        <v>380</v>
      </c>
    </row>
    <row r="145" customFormat="false" ht="15" hidden="false" customHeight="false" outlineLevel="0" collapsed="false">
      <c r="A145" s="2" t="s">
        <v>381</v>
      </c>
      <c r="B145" s="3" t="s">
        <v>382</v>
      </c>
      <c r="C145" s="4" t="s">
        <v>369</v>
      </c>
      <c r="D145" s="4" t="s">
        <v>15</v>
      </c>
      <c r="E145" s="4" t="s">
        <v>16</v>
      </c>
      <c r="F145" s="5" t="n">
        <v>365</v>
      </c>
      <c r="G145" s="5"/>
      <c r="H145" s="5"/>
      <c r="I145" s="4" t="s">
        <v>17</v>
      </c>
      <c r="J145" s="5"/>
      <c r="K145" s="5"/>
      <c r="L145" s="6"/>
    </row>
    <row r="146" customFormat="false" ht="15" hidden="false" customHeight="false" outlineLevel="0" collapsed="false">
      <c r="A146" s="2" t="s">
        <v>383</v>
      </c>
      <c r="B146" s="3" t="s">
        <v>384</v>
      </c>
      <c r="C146" s="4" t="s">
        <v>369</v>
      </c>
      <c r="D146" s="4" t="s">
        <v>15</v>
      </c>
      <c r="E146" s="4" t="s">
        <v>16</v>
      </c>
      <c r="F146" s="5" t="n">
        <v>180</v>
      </c>
      <c r="G146" s="5"/>
      <c r="H146" s="5"/>
      <c r="I146" s="4" t="s">
        <v>17</v>
      </c>
      <c r="J146" s="5"/>
      <c r="K146" s="5"/>
      <c r="L146" s="6"/>
    </row>
    <row r="147" customFormat="false" ht="15" hidden="false" customHeight="false" outlineLevel="0" collapsed="false">
      <c r="A147" s="2" t="s">
        <v>385</v>
      </c>
      <c r="B147" s="3" t="s">
        <v>386</v>
      </c>
      <c r="C147" s="4" t="s">
        <v>369</v>
      </c>
      <c r="D147" s="4" t="s">
        <v>15</v>
      </c>
      <c r="E147" s="4" t="s">
        <v>16</v>
      </c>
      <c r="F147" s="5" t="n">
        <v>270</v>
      </c>
      <c r="G147" s="5"/>
      <c r="H147" s="5"/>
      <c r="I147" s="4" t="s">
        <v>17</v>
      </c>
      <c r="J147" s="5"/>
      <c r="K147" s="5"/>
      <c r="L147" s="6" t="s">
        <v>387</v>
      </c>
    </row>
    <row r="148" customFormat="false" ht="15" hidden="false" customHeight="false" outlineLevel="0" collapsed="false">
      <c r="A148" s="2" t="s">
        <v>388</v>
      </c>
      <c r="B148" s="3" t="s">
        <v>389</v>
      </c>
      <c r="C148" s="4" t="s">
        <v>369</v>
      </c>
      <c r="D148" s="4" t="s">
        <v>15</v>
      </c>
      <c r="E148" s="4" t="s">
        <v>16</v>
      </c>
      <c r="F148" s="5" t="n">
        <v>365</v>
      </c>
      <c r="G148" s="5"/>
      <c r="H148" s="5"/>
      <c r="I148" s="4" t="s">
        <v>17</v>
      </c>
      <c r="J148" s="5"/>
      <c r="K148" s="5"/>
      <c r="L148" s="6" t="s">
        <v>390</v>
      </c>
    </row>
    <row r="149" customFormat="false" ht="15" hidden="false" customHeight="false" outlineLevel="0" collapsed="false">
      <c r="A149" s="2" t="s">
        <v>391</v>
      </c>
      <c r="B149" s="3" t="s">
        <v>392</v>
      </c>
      <c r="C149" s="4" t="s">
        <v>369</v>
      </c>
      <c r="D149" s="4" t="s">
        <v>15</v>
      </c>
      <c r="E149" s="4" t="s">
        <v>16</v>
      </c>
      <c r="F149" s="5" t="n">
        <v>180</v>
      </c>
      <c r="G149" s="5"/>
      <c r="H149" s="5"/>
      <c r="I149" s="4" t="s">
        <v>17</v>
      </c>
      <c r="J149" s="5"/>
      <c r="K149" s="5"/>
      <c r="L149" s="6"/>
    </row>
    <row r="150" customFormat="false" ht="15" hidden="false" customHeight="false" outlineLevel="0" collapsed="false">
      <c r="A150" s="2" t="s">
        <v>393</v>
      </c>
      <c r="B150" s="3" t="s">
        <v>394</v>
      </c>
      <c r="C150" s="4" t="s">
        <v>369</v>
      </c>
      <c r="D150" s="4" t="s">
        <v>15</v>
      </c>
      <c r="E150" s="4" t="s">
        <v>16</v>
      </c>
      <c r="F150" s="5" t="n">
        <v>365</v>
      </c>
      <c r="G150" s="5"/>
      <c r="H150" s="5"/>
      <c r="I150" s="4" t="s">
        <v>17</v>
      </c>
      <c r="J150" s="5"/>
      <c r="K150" s="5"/>
      <c r="L150" s="6"/>
    </row>
    <row r="151" customFormat="false" ht="15" hidden="false" customHeight="false" outlineLevel="0" collapsed="false">
      <c r="A151" s="2" t="s">
        <v>395</v>
      </c>
      <c r="B151" s="3" t="s">
        <v>396</v>
      </c>
      <c r="C151" s="4" t="s">
        <v>369</v>
      </c>
      <c r="D151" s="4" t="s">
        <v>15</v>
      </c>
      <c r="E151" s="4" t="s">
        <v>16</v>
      </c>
      <c r="F151" s="5" t="n">
        <v>365</v>
      </c>
      <c r="G151" s="5"/>
      <c r="H151" s="5"/>
      <c r="I151" s="4" t="s">
        <v>17</v>
      </c>
      <c r="J151" s="5"/>
      <c r="K151" s="5"/>
      <c r="L151" s="6"/>
    </row>
    <row r="152" customFormat="false" ht="15" hidden="false" customHeight="false" outlineLevel="0" collapsed="false">
      <c r="A152" s="2" t="s">
        <v>397</v>
      </c>
      <c r="B152" s="3" t="s">
        <v>398</v>
      </c>
      <c r="C152" s="4" t="s">
        <v>369</v>
      </c>
      <c r="D152" s="4" t="s">
        <v>15</v>
      </c>
      <c r="E152" s="4" t="s">
        <v>16</v>
      </c>
      <c r="F152" s="5" t="n">
        <v>60</v>
      </c>
      <c r="G152" s="5"/>
      <c r="H152" s="5"/>
      <c r="I152" s="4" t="s">
        <v>17</v>
      </c>
      <c r="J152" s="5"/>
      <c r="K152" s="5"/>
      <c r="L152" s="6"/>
    </row>
    <row r="153" customFormat="false" ht="15" hidden="false" customHeight="false" outlineLevel="0" collapsed="false">
      <c r="A153" s="2" t="s">
        <v>399</v>
      </c>
      <c r="B153" s="3" t="s">
        <v>400</v>
      </c>
      <c r="C153" s="4" t="s">
        <v>401</v>
      </c>
      <c r="D153" s="4" t="s">
        <v>15</v>
      </c>
      <c r="E153" s="4" t="s">
        <v>16</v>
      </c>
      <c r="F153" s="5" t="n">
        <v>180</v>
      </c>
      <c r="G153" s="5"/>
      <c r="H153" s="5"/>
      <c r="I153" s="4" t="s">
        <v>17</v>
      </c>
      <c r="J153" s="5"/>
      <c r="K153" s="5"/>
      <c r="L153" s="6"/>
    </row>
    <row r="154" customFormat="false" ht="15" hidden="false" customHeight="false" outlineLevel="0" collapsed="false">
      <c r="A154" s="2" t="s">
        <v>402</v>
      </c>
      <c r="B154" s="3" t="s">
        <v>403</v>
      </c>
      <c r="C154" s="4" t="s">
        <v>401</v>
      </c>
      <c r="D154" s="4" t="s">
        <v>15</v>
      </c>
      <c r="E154" s="4" t="s">
        <v>16</v>
      </c>
      <c r="F154" s="5" t="n">
        <v>365</v>
      </c>
      <c r="G154" s="5"/>
      <c r="H154" s="5"/>
      <c r="I154" s="4" t="s">
        <v>17</v>
      </c>
      <c r="J154" s="5"/>
      <c r="K154" s="5"/>
      <c r="L154" s="6" t="s">
        <v>404</v>
      </c>
    </row>
    <row r="155" customFormat="false" ht="15" hidden="false" customHeight="false" outlineLevel="0" collapsed="false">
      <c r="A155" s="2" t="s">
        <v>405</v>
      </c>
      <c r="B155" s="3" t="s">
        <v>406</v>
      </c>
      <c r="C155" s="4" t="s">
        <v>401</v>
      </c>
      <c r="D155" s="4" t="s">
        <v>15</v>
      </c>
      <c r="E155" s="4" t="s">
        <v>16</v>
      </c>
      <c r="F155" s="5" t="n">
        <v>90</v>
      </c>
      <c r="G155" s="5"/>
      <c r="H155" s="5"/>
      <c r="I155" s="4" t="s">
        <v>17</v>
      </c>
      <c r="J155" s="5"/>
      <c r="K155" s="5"/>
      <c r="L155" s="6" t="s">
        <v>407</v>
      </c>
    </row>
    <row r="156" customFormat="false" ht="15" hidden="false" customHeight="false" outlineLevel="0" collapsed="false">
      <c r="A156" s="2" t="s">
        <v>408</v>
      </c>
      <c r="B156" s="3" t="s">
        <v>409</v>
      </c>
      <c r="C156" s="4" t="s">
        <v>401</v>
      </c>
      <c r="D156" s="4" t="s">
        <v>15</v>
      </c>
      <c r="E156" s="4" t="s">
        <v>16</v>
      </c>
      <c r="F156" s="5" t="n">
        <v>365</v>
      </c>
      <c r="G156" s="5"/>
      <c r="H156" s="5"/>
      <c r="I156" s="4" t="s">
        <v>17</v>
      </c>
      <c r="J156" s="5"/>
      <c r="K156" s="5"/>
      <c r="L156" s="6" t="s">
        <v>410</v>
      </c>
    </row>
    <row r="157" customFormat="false" ht="15" hidden="false" customHeight="false" outlineLevel="0" collapsed="false">
      <c r="A157" s="2" t="s">
        <v>411</v>
      </c>
      <c r="B157" s="3" t="s">
        <v>412</v>
      </c>
      <c r="C157" s="4" t="s">
        <v>401</v>
      </c>
      <c r="D157" s="4" t="s">
        <v>15</v>
      </c>
      <c r="E157" s="4" t="s">
        <v>16</v>
      </c>
      <c r="F157" s="5" t="n">
        <v>30</v>
      </c>
      <c r="G157" s="5"/>
      <c r="H157" s="5"/>
      <c r="I157" s="4" t="s">
        <v>17</v>
      </c>
      <c r="J157" s="5"/>
      <c r="K157" s="5"/>
      <c r="L157" s="6"/>
    </row>
    <row r="158" customFormat="false" ht="15" hidden="false" customHeight="false" outlineLevel="0" collapsed="false">
      <c r="A158" s="2" t="s">
        <v>413</v>
      </c>
      <c r="B158" s="3" t="s">
        <v>414</v>
      </c>
      <c r="C158" s="4" t="s">
        <v>401</v>
      </c>
      <c r="D158" s="4" t="s">
        <v>15</v>
      </c>
      <c r="E158" s="4" t="s">
        <v>16</v>
      </c>
      <c r="F158" s="5" t="n">
        <v>365</v>
      </c>
      <c r="G158" s="5"/>
      <c r="H158" s="5"/>
      <c r="I158" s="4" t="s">
        <v>17</v>
      </c>
      <c r="J158" s="5"/>
      <c r="K158" s="5"/>
      <c r="L158" s="6" t="s">
        <v>415</v>
      </c>
    </row>
    <row r="159" customFormat="false" ht="15" hidden="false" customHeight="false" outlineLevel="0" collapsed="false">
      <c r="A159" s="2" t="s">
        <v>416</v>
      </c>
      <c r="B159" s="3" t="s">
        <v>417</v>
      </c>
      <c r="C159" s="4" t="s">
        <v>401</v>
      </c>
      <c r="D159" s="4" t="s">
        <v>15</v>
      </c>
      <c r="E159" s="4" t="s">
        <v>16</v>
      </c>
      <c r="F159" s="5" t="n">
        <v>30</v>
      </c>
      <c r="G159" s="5"/>
      <c r="H159" s="5"/>
      <c r="I159" s="4" t="s">
        <v>17</v>
      </c>
      <c r="J159" s="5"/>
      <c r="K159" s="5"/>
      <c r="L159" s="6"/>
    </row>
    <row r="160" customFormat="false" ht="15" hidden="false" customHeight="false" outlineLevel="0" collapsed="false">
      <c r="A160" s="2" t="s">
        <v>418</v>
      </c>
      <c r="B160" s="3" t="s">
        <v>419</v>
      </c>
      <c r="C160" s="4" t="s">
        <v>401</v>
      </c>
      <c r="D160" s="4" t="s">
        <v>15</v>
      </c>
      <c r="E160" s="4" t="s">
        <v>16</v>
      </c>
      <c r="F160" s="5" t="n">
        <v>180</v>
      </c>
      <c r="G160" s="5"/>
      <c r="H160" s="5"/>
      <c r="I160" s="4" t="s">
        <v>17</v>
      </c>
      <c r="J160" s="5"/>
      <c r="K160" s="5"/>
      <c r="L160" s="6"/>
    </row>
  </sheetData>
  <autoFilter ref="A1:L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7" t="s">
        <v>420</v>
      </c>
    </row>
    <row r="2" customFormat="false" ht="15" hidden="false" customHeight="false" outlineLevel="0" collapsed="false">
      <c r="A2" s="18" t="s">
        <v>421</v>
      </c>
    </row>
    <row r="4" customFormat="false" ht="15" hidden="false" customHeight="false" outlineLevel="0" collapsed="false">
      <c r="A4" s="19" t="s">
        <v>2</v>
      </c>
      <c r="B4" s="19" t="s">
        <v>422</v>
      </c>
      <c r="C4" s="19" t="s">
        <v>423</v>
      </c>
      <c r="D4" s="19" t="s">
        <v>9</v>
      </c>
    </row>
    <row r="5" customFormat="false" ht="15" hidden="false" customHeight="false" outlineLevel="0" collapsed="false">
      <c r="A5" s="20" t="s">
        <v>14</v>
      </c>
      <c r="B5" s="21" t="n">
        <f aca="false">COUNTIF(카탈로그!$C$2:$C$160,A5)</f>
        <v>22</v>
      </c>
      <c r="C5" s="21" t="n">
        <f aca="false">COUNTIFS(카탈로그!$C$2:$C$160,A5,카탈로그!$D$2:$D$160,"개봉일")</f>
        <v>2</v>
      </c>
      <c r="D5" s="21" t="n">
        <f aca="false">COUNTIFS(카탈로그!$C$2:$C$160,A5,카탈로그!$J$2:$J$160,"○")</f>
        <v>0</v>
      </c>
    </row>
    <row r="6" customFormat="false" ht="15" hidden="false" customHeight="false" outlineLevel="0" collapsed="false">
      <c r="A6" s="20" t="s">
        <v>74</v>
      </c>
      <c r="B6" s="21" t="n">
        <f aca="false">COUNTIF(카탈로그!$C$2:$C$160,A6)</f>
        <v>30</v>
      </c>
      <c r="C6" s="21" t="n">
        <f aca="false">COUNTIFS(카탈로그!$C$2:$C$160,A6,카탈로그!$D$2:$D$160,"개봉일")</f>
        <v>6</v>
      </c>
      <c r="D6" s="21" t="n">
        <f aca="false">COUNTIFS(카탈로그!$C$2:$C$160,A6,카탈로그!$J$2:$J$160,"○")</f>
        <v>0</v>
      </c>
    </row>
    <row r="7" customFormat="false" ht="15" hidden="false" customHeight="false" outlineLevel="0" collapsed="false">
      <c r="A7" s="20" t="s">
        <v>147</v>
      </c>
      <c r="B7" s="21" t="n">
        <f aca="false">COUNTIF(카탈로그!$C$2:$C$160,A7)</f>
        <v>16</v>
      </c>
      <c r="C7" s="21" t="n">
        <f aca="false">COUNTIFS(카탈로그!$C$2:$C$160,A7,카탈로그!$D$2:$D$160,"개봉일")</f>
        <v>0</v>
      </c>
      <c r="D7" s="21" t="n">
        <f aca="false">COUNTIFS(카탈로그!$C$2:$C$160,A7,카탈로그!$J$2:$J$160,"○")</f>
        <v>0</v>
      </c>
    </row>
    <row r="8" customFormat="false" ht="15" hidden="false" customHeight="false" outlineLevel="0" collapsed="false">
      <c r="A8" s="20" t="s">
        <v>188</v>
      </c>
      <c r="B8" s="21" t="n">
        <f aca="false">COUNTIF(카탈로그!$C$2:$C$160,A8)</f>
        <v>23</v>
      </c>
      <c r="C8" s="21" t="n">
        <f aca="false">COUNTIFS(카탈로그!$C$2:$C$160,A8,카탈로그!$D$2:$D$160,"개봉일")</f>
        <v>0</v>
      </c>
      <c r="D8" s="21" t="n">
        <f aca="false">COUNTIFS(카탈로그!$C$2:$C$160,A8,카탈로그!$J$2:$J$160,"○")</f>
        <v>0</v>
      </c>
    </row>
    <row r="9" customFormat="false" ht="15" hidden="false" customHeight="false" outlineLevel="0" collapsed="false">
      <c r="A9" s="20" t="s">
        <v>243</v>
      </c>
      <c r="B9" s="21" t="n">
        <f aca="false">COUNTIF(카탈로그!$C$2:$C$160,A9)</f>
        <v>30</v>
      </c>
      <c r="C9" s="21" t="n">
        <f aca="false">COUNTIFS(카탈로그!$C$2:$C$160,A9,카탈로그!$D$2:$D$160,"개봉일")</f>
        <v>21</v>
      </c>
      <c r="D9" s="21" t="n">
        <f aca="false">COUNTIFS(카탈로그!$C$2:$C$160,A9,카탈로그!$J$2:$J$160,"○")</f>
        <v>0</v>
      </c>
    </row>
    <row r="10" customFormat="false" ht="15" hidden="false" customHeight="false" outlineLevel="0" collapsed="false">
      <c r="A10" s="20" t="s">
        <v>320</v>
      </c>
      <c r="B10" s="21" t="n">
        <f aca="false">COUNTIF(카탈로그!$C$2:$C$160,A10)</f>
        <v>10</v>
      </c>
      <c r="C10" s="21" t="n">
        <f aca="false">COUNTIFS(카탈로그!$C$2:$C$160,A10,카탈로그!$D$2:$D$160,"개봉일")</f>
        <v>3</v>
      </c>
      <c r="D10" s="21" t="n">
        <f aca="false">COUNTIFS(카탈로그!$C$2:$C$160,A10,카탈로그!$J$2:$J$160,"○")</f>
        <v>3</v>
      </c>
    </row>
    <row r="11" customFormat="false" ht="15" hidden="false" customHeight="false" outlineLevel="0" collapsed="false">
      <c r="A11" s="20" t="s">
        <v>346</v>
      </c>
      <c r="B11" s="21" t="n">
        <f aca="false">COUNTIF(카탈로그!$C$2:$C$160,A11)</f>
        <v>8</v>
      </c>
      <c r="C11" s="21" t="n">
        <f aca="false">COUNTIFS(카탈로그!$C$2:$C$160,A11,카탈로그!$D$2:$D$160,"개봉일")</f>
        <v>0</v>
      </c>
      <c r="D11" s="21" t="n">
        <f aca="false">COUNTIFS(카탈로그!$C$2:$C$160,A11,카탈로그!$J$2:$J$160,"○")</f>
        <v>8</v>
      </c>
    </row>
    <row r="12" customFormat="false" ht="15" hidden="false" customHeight="false" outlineLevel="0" collapsed="false">
      <c r="A12" s="20" t="s">
        <v>369</v>
      </c>
      <c r="B12" s="21" t="n">
        <f aca="false">COUNTIF(카탈로그!$C$2:$C$160,A12)</f>
        <v>12</v>
      </c>
      <c r="C12" s="21" t="n">
        <f aca="false">COUNTIFS(카탈로그!$C$2:$C$160,A12,카탈로그!$D$2:$D$160,"개봉일")</f>
        <v>0</v>
      </c>
      <c r="D12" s="21" t="n">
        <f aca="false">COUNTIFS(카탈로그!$C$2:$C$160,A12,카탈로그!$J$2:$J$160,"○")</f>
        <v>0</v>
      </c>
    </row>
    <row r="13" customFormat="false" ht="15" hidden="false" customHeight="false" outlineLevel="0" collapsed="false">
      <c r="A13" s="20" t="s">
        <v>401</v>
      </c>
      <c r="B13" s="21" t="n">
        <f aca="false">COUNTIF(카탈로그!$C$2:$C$160,A13)</f>
        <v>8</v>
      </c>
      <c r="C13" s="21" t="n">
        <f aca="false">COUNTIFS(카탈로그!$C$2:$C$160,A13,카탈로그!$D$2:$D$160,"개봉일")</f>
        <v>0</v>
      </c>
      <c r="D13" s="21" t="n">
        <f aca="false">COUNTIFS(카탈로그!$C$2:$C$160,A13,카탈로그!$J$2:$J$160,"○")</f>
        <v>0</v>
      </c>
    </row>
    <row r="14" customFormat="false" ht="15" hidden="false" customHeight="false" outlineLevel="0" collapsed="false">
      <c r="A14" s="22" t="s">
        <v>424</v>
      </c>
      <c r="B14" s="23" t="n">
        <f aca="false">SUM(B5:B13)</f>
        <v>159</v>
      </c>
      <c r="C14" s="23" t="n">
        <f aca="false">SUM(C5:C13)</f>
        <v>32</v>
      </c>
      <c r="D14" s="23" t="n">
        <f aca="false">SUM(D5:D13)</f>
        <v>11</v>
      </c>
    </row>
    <row r="16" customFormat="false" ht="15" hidden="false" customHeight="false" outlineLevel="0" collapsed="false">
      <c r="A16" s="22" t="s">
        <v>425</v>
      </c>
    </row>
    <row r="17" customFormat="false" ht="15" hidden="false" customHeight="false" outlineLevel="0" collapsed="false">
      <c r="A17" s="24" t="s">
        <v>426</v>
      </c>
      <c r="B17" s="25" t="n">
        <f aca="false">COUNTIFS(카탈로그!$F$2:$F$160,"&gt;="&amp;0,카탈로그!$F$2:$F$160,"&lt;="&amp;7)</f>
        <v>9</v>
      </c>
    </row>
    <row r="18" customFormat="false" ht="15" hidden="false" customHeight="false" outlineLevel="0" collapsed="false">
      <c r="A18" s="24" t="s">
        <v>427</v>
      </c>
      <c r="B18" s="25" t="n">
        <f aca="false">COUNTIFS(카탈로그!$F$2:$F$160,"&gt;="&amp;8,카탈로그!$F$2:$F$160,"&lt;="&amp;31)</f>
        <v>34</v>
      </c>
    </row>
    <row r="19" customFormat="false" ht="15" hidden="false" customHeight="false" outlineLevel="0" collapsed="false">
      <c r="A19" s="24" t="s">
        <v>428</v>
      </c>
      <c r="B19" s="25" t="n">
        <f aca="false">COUNTIFS(카탈로그!$F$2:$F$160,"&gt;="&amp;32,카탈로그!$F$2:$F$160,"&lt;="&amp;92)</f>
        <v>37</v>
      </c>
    </row>
    <row r="20" customFormat="false" ht="15" hidden="false" customHeight="false" outlineLevel="0" collapsed="false">
      <c r="A20" s="24" t="s">
        <v>429</v>
      </c>
      <c r="B20" s="25" t="n">
        <f aca="false">COUNTIFS(카탈로그!$F$2:$F$160,"&gt;="&amp;93,카탈로그!$F$2:$F$160,"&lt;="&amp;365)</f>
        <v>61</v>
      </c>
    </row>
    <row r="21" customFormat="false" ht="15" hidden="false" customHeight="false" outlineLevel="0" collapsed="false">
      <c r="A21" s="24" t="s">
        <v>430</v>
      </c>
      <c r="B21" s="25" t="n">
        <f aca="false">COUNTIFS(카탈로그!$F$2:$F$160,"&gt;="&amp;366,카탈로그!$F$2:$F$160,"&lt;="&amp;99999)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20.1" hidden="false" customHeight="false" outlineLevel="0" collapsed="false">
      <c r="A1" s="17" t="s">
        <v>431</v>
      </c>
    </row>
    <row r="2" customFormat="false" ht="15" hidden="false" customHeight="false" outlineLevel="0" collapsed="false">
      <c r="A2" s="24"/>
      <c r="B2" s="26"/>
    </row>
    <row r="3" customFormat="false" ht="15" hidden="false" customHeight="false" outlineLevel="0" collapsed="false">
      <c r="A3" s="22" t="s">
        <v>3</v>
      </c>
      <c r="B3" s="26"/>
    </row>
    <row r="4" customFormat="false" ht="15" hidden="false" customHeight="false" outlineLevel="0" collapsed="false">
      <c r="A4" s="27" t="s">
        <v>432</v>
      </c>
      <c r="B4" s="28" t="s">
        <v>433</v>
      </c>
    </row>
    <row r="5" customFormat="false" ht="15" hidden="false" customHeight="false" outlineLevel="0" collapsed="false">
      <c r="A5" s="27" t="s">
        <v>434</v>
      </c>
      <c r="B5" s="28" t="s">
        <v>435</v>
      </c>
    </row>
    <row r="6" customFormat="false" ht="15" hidden="false" customHeight="false" outlineLevel="0" collapsed="false">
      <c r="A6" s="24"/>
      <c r="B6" s="26"/>
    </row>
    <row r="7" customFormat="false" ht="15" hidden="false" customHeight="false" outlineLevel="0" collapsed="false">
      <c r="A7" s="22" t="s">
        <v>4</v>
      </c>
      <c r="B7" s="26"/>
    </row>
    <row r="8" customFormat="false" ht="15" hidden="false" customHeight="false" outlineLevel="0" collapsed="false">
      <c r="A8" s="27" t="s">
        <v>436</v>
      </c>
      <c r="B8" s="28" t="s">
        <v>437</v>
      </c>
    </row>
    <row r="9" customFormat="false" ht="15" hidden="false" customHeight="false" outlineLevel="0" collapsed="false">
      <c r="A9" s="27" t="s">
        <v>438</v>
      </c>
      <c r="B9" s="28" t="s">
        <v>439</v>
      </c>
    </row>
    <row r="10" customFormat="false" ht="15" hidden="false" customHeight="false" outlineLevel="0" collapsed="false">
      <c r="A10" s="24"/>
      <c r="B10" s="26"/>
    </row>
    <row r="11" customFormat="false" ht="15" hidden="false" customHeight="false" outlineLevel="0" collapsed="false">
      <c r="A11" s="22" t="s">
        <v>8</v>
      </c>
      <c r="B11" s="26"/>
    </row>
    <row r="12" customFormat="false" ht="15" hidden="false" customHeight="false" outlineLevel="0" collapsed="false">
      <c r="A12" s="27" t="s">
        <v>440</v>
      </c>
      <c r="B12" s="28" t="s">
        <v>441</v>
      </c>
    </row>
    <row r="13" customFormat="false" ht="15" hidden="false" customHeight="false" outlineLevel="0" collapsed="false">
      <c r="A13" s="27" t="s">
        <v>442</v>
      </c>
      <c r="B13" s="28" t="s">
        <v>443</v>
      </c>
    </row>
    <row r="14" customFormat="false" ht="15" hidden="false" customHeight="false" outlineLevel="0" collapsed="false">
      <c r="A14" s="24"/>
      <c r="B14" s="26"/>
    </row>
    <row r="15" customFormat="false" ht="15" hidden="false" customHeight="false" outlineLevel="0" collapsed="false">
      <c r="A15" s="22" t="s">
        <v>9</v>
      </c>
      <c r="B15" s="28" t="s">
        <v>444</v>
      </c>
    </row>
    <row r="16" customFormat="false" ht="15" hidden="false" customHeight="false" outlineLevel="0" collapsed="false">
      <c r="A16" s="24"/>
      <c r="B16" s="28" t="s">
        <v>445</v>
      </c>
    </row>
    <row r="17" customFormat="false" ht="15" hidden="false" customHeight="false" outlineLevel="0" collapsed="false">
      <c r="A17" s="24"/>
      <c r="B17" s="26"/>
    </row>
    <row r="18" customFormat="false" ht="15" hidden="false" customHeight="false" outlineLevel="0" collapsed="false">
      <c r="A18" s="22" t="s">
        <v>10</v>
      </c>
      <c r="B18" s="28" t="s">
        <v>446</v>
      </c>
    </row>
    <row r="19" customFormat="false" ht="15" hidden="false" customHeight="false" outlineLevel="0" collapsed="false">
      <c r="A19" s="24"/>
      <c r="B19" s="28" t="s">
        <v>447</v>
      </c>
    </row>
    <row r="20" customFormat="false" ht="15" hidden="false" customHeight="false" outlineLevel="0" collapsed="false">
      <c r="A20" s="24"/>
      <c r="B20" s="26"/>
    </row>
    <row r="21" customFormat="false" ht="15" hidden="false" customHeight="false" outlineLevel="0" collapsed="false">
      <c r="A21" s="22" t="s">
        <v>448</v>
      </c>
      <c r="B21" s="28" t="s">
        <v>449</v>
      </c>
    </row>
    <row r="22" customFormat="false" ht="15" hidden="false" customHeight="false" outlineLevel="0" collapsed="false">
      <c r="A22" s="24"/>
      <c r="B22" s="28" t="s">
        <v>450</v>
      </c>
    </row>
    <row r="23" customFormat="false" ht="15" hidden="false" customHeight="false" outlineLevel="0" collapsed="false">
      <c r="A23" s="24"/>
      <c r="B23" s="26"/>
    </row>
    <row r="24" customFormat="false" ht="15" hidden="false" customHeight="false" outlineLevel="0" collapsed="false">
      <c r="A24" s="22" t="s">
        <v>451</v>
      </c>
      <c r="B24" s="28" t="s">
        <v>452</v>
      </c>
    </row>
    <row r="25" customFormat="false" ht="15" hidden="false" customHeight="false" outlineLevel="0" collapsed="false">
      <c r="A25" s="24"/>
      <c r="B25" s="28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2026-09-05T13:58:40Z</dcterms:created>
  <dc:creator>openpyxl</dc:creator>
  <dc:description/>
  <dc:language>en-US</dc:language>
  <cp:lastModifiedBy/>
  <dcterms:modified xsi:type="dcterms:W3CDTF">2026-09-05T13:58:40Z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